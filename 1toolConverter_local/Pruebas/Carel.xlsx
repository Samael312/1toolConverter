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solera\Desktop\"/>
    </mc:Choice>
  </mc:AlternateContent>
  <xr:revisionPtr revIDLastSave="0" documentId="13_ncr:1_{D1D21014-BF8F-4468-98AD-9A4668837A9C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eyenda" sheetId="4" r:id="rId1"/>
    <sheet name="Analogicas" sheetId="1" r:id="rId2"/>
    <sheet name="Enteras" sheetId="2" r:id="rId3"/>
    <sheet name="Digital" sheetId="3" r:id="rId4"/>
    <sheet name="Explicaciones" sheetId="5" r:id="rId5"/>
  </sheets>
  <definedNames>
    <definedName name="_xlnm._FilterDatabase" localSheetId="1" hidden="1">Analogicas!$M$1:$M$309</definedName>
    <definedName name="_xlnm._FilterDatabase" localSheetId="3" hidden="1">Digital!$A$3:$K$298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3" i="2" l="1"/>
  <c r="C113" i="2"/>
  <c r="C185" i="1"/>
  <c r="C183" i="1"/>
  <c r="B83" i="2"/>
  <c r="C83" i="2"/>
  <c r="B84" i="2"/>
  <c r="C84" i="2"/>
  <c r="B75" i="2"/>
  <c r="C75" i="2"/>
  <c r="B76" i="2"/>
  <c r="C76" i="2"/>
  <c r="C99" i="1"/>
  <c r="C154" i="1"/>
  <c r="C92" i="1"/>
  <c r="B297" i="3"/>
  <c r="B296" i="3"/>
  <c r="B292" i="2"/>
  <c r="C292" i="2"/>
  <c r="B293" i="2"/>
  <c r="C293" i="2"/>
  <c r="B294" i="2"/>
  <c r="C294" i="2"/>
  <c r="B295" i="2"/>
  <c r="C295" i="2"/>
  <c r="B296" i="2"/>
  <c r="C296" i="2"/>
  <c r="B297" i="2"/>
  <c r="C297" i="2"/>
  <c r="B298" i="2"/>
  <c r="C298" i="2"/>
  <c r="B299" i="2"/>
  <c r="C299" i="2"/>
  <c r="B300" i="2"/>
  <c r="C300" i="2"/>
  <c r="B291" i="2"/>
  <c r="C291" i="2"/>
  <c r="B290" i="2"/>
  <c r="C290" i="2"/>
  <c r="C277" i="1"/>
  <c r="C278" i="1"/>
  <c r="C279" i="1"/>
  <c r="C280" i="1"/>
  <c r="C281" i="1"/>
  <c r="C282" i="1"/>
  <c r="C283" i="1"/>
  <c r="C284" i="1"/>
  <c r="C285" i="1"/>
  <c r="C156" i="1" l="1"/>
  <c r="B294" i="3"/>
  <c r="B295" i="3"/>
  <c r="C174" i="1"/>
  <c r="C175" i="1"/>
  <c r="C176" i="1"/>
  <c r="C177" i="1"/>
  <c r="C178" i="1"/>
  <c r="C179" i="1"/>
  <c r="C180" i="1"/>
  <c r="C181" i="1"/>
  <c r="C182" i="1"/>
  <c r="C184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53" i="1"/>
  <c r="C79" i="1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4" i="3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7" i="2"/>
  <c r="B78" i="2"/>
  <c r="B79" i="2"/>
  <c r="B80" i="2"/>
  <c r="B81" i="2"/>
  <c r="B82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7" i="2"/>
  <c r="C78" i="2"/>
  <c r="C79" i="2"/>
  <c r="C80" i="2"/>
  <c r="C81" i="2"/>
  <c r="C82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4" i="2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80" i="1"/>
  <c r="C81" i="1"/>
  <c r="C82" i="1"/>
  <c r="C83" i="1"/>
  <c r="C84" i="1"/>
  <c r="C85" i="1"/>
  <c r="C86" i="1"/>
  <c r="C87" i="1"/>
  <c r="C88" i="1"/>
  <c r="C89" i="1"/>
  <c r="C90" i="1"/>
  <c r="C91" i="1"/>
  <c r="C93" i="1"/>
  <c r="C94" i="1"/>
  <c r="C95" i="1"/>
  <c r="C96" i="1"/>
  <c r="C97" i="1"/>
  <c r="C98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5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4" i="1"/>
</calcChain>
</file>

<file path=xl/sharedStrings.xml><?xml version="1.0" encoding="utf-8"?>
<sst xmlns="http://schemas.openxmlformats.org/spreadsheetml/2006/main" count="6627" uniqueCount="2689">
  <si>
    <t>Default</t>
  </si>
  <si>
    <t>Category</t>
  </si>
  <si>
    <t>UOM</t>
  </si>
  <si>
    <t>Min</t>
  </si>
  <si>
    <t>Max</t>
  </si>
  <si>
    <t>Read/Write</t>
  </si>
  <si>
    <t>Variable name</t>
  </si>
  <si>
    <t>Input-Output</t>
  </si>
  <si>
    <t>%</t>
  </si>
  <si>
    <t>-3276.8</t>
  </si>
  <si>
    <t>3276.7</t>
  </si>
  <si>
    <t>R</t>
  </si>
  <si>
    <t>CAL_AIRE_VOC</t>
  </si>
  <si>
    <t>---</t>
  </si>
  <si>
    <t>-99.9</t>
  </si>
  <si>
    <t>99.9</t>
  </si>
  <si>
    <t>R/W</t>
  </si>
  <si>
    <t>CONSIGNA_AUTO</t>
  </si>
  <si>
    <t>°C</t>
  </si>
  <si>
    <t>-999.9</t>
  </si>
  <si>
    <t>999.9</t>
  </si>
  <si>
    <t>CONSIGNA_CALOR_CONFORT</t>
  </si>
  <si>
    <t>Consigna Calor Eco</t>
  </si>
  <si>
    <t>CONSIGNA_CALOR_ECO</t>
  </si>
  <si>
    <t>CONSIGNA_FRIO_CONFORT</t>
  </si>
  <si>
    <t>Consigna Frio Eco</t>
  </si>
  <si>
    <t>CONSIGNA_FRIO_ECO</t>
  </si>
  <si>
    <t>100.0</t>
  </si>
  <si>
    <t>CONSIGNA_HUMEDAD</t>
  </si>
  <si>
    <t>HUMEDAD_EXT</t>
  </si>
  <si>
    <t>HUMEDAD_IMP</t>
  </si>
  <si>
    <t>HUMEDAD_INT</t>
  </si>
  <si>
    <t>HUMEDAD_POST</t>
  </si>
  <si>
    <t>BAR</t>
  </si>
  <si>
    <t>PRESS_COND_CIRC_1</t>
  </si>
  <si>
    <t>PRESS_COND_CIRC_2</t>
  </si>
  <si>
    <t>PRESS_COND_CIRC_REC</t>
  </si>
  <si>
    <t>TEMP_EXT</t>
  </si>
  <si>
    <t>TEMP_IMPULSION</t>
  </si>
  <si>
    <t>TEMP_MEZCLA</t>
  </si>
  <si>
    <t>-3276.7</t>
  </si>
  <si>
    <t>TEMP_RET_AMB</t>
  </si>
  <si>
    <t>TEMP_POST</t>
  </si>
  <si>
    <t>kW</t>
  </si>
  <si>
    <t>Power_L_SPV</t>
  </si>
  <si>
    <t>Alarms</t>
  </si>
  <si>
    <t>Dampers</t>
  </si>
  <si>
    <t>Min_Ext_Damper</t>
  </si>
  <si>
    <t>°C/°F</t>
  </si>
  <si>
    <t>-72.0</t>
  </si>
  <si>
    <t>324.0</t>
  </si>
  <si>
    <t>Diferencial Humedad</t>
  </si>
  <si>
    <t>0.1</t>
  </si>
  <si>
    <t>DIF_HUM</t>
  </si>
  <si>
    <t>DIF_FRIO</t>
  </si>
  <si>
    <t>DIF_CALOR</t>
  </si>
  <si>
    <t>Min_Set_Temp_Cool</t>
  </si>
  <si>
    <t>Max_Set_Temp_Cool</t>
  </si>
  <si>
    <t>Min_Set_Temp_Heat</t>
  </si>
  <si>
    <t>Max_Set_Temp_Heat</t>
  </si>
  <si>
    <t>Delta_Temp</t>
  </si>
  <si>
    <t>kJ/kg</t>
  </si>
  <si>
    <t>Diff_Enth</t>
  </si>
  <si>
    <t>99.0</t>
  </si>
  <si>
    <t>Enthalpy_Diff_ON</t>
  </si>
  <si>
    <t>Set_External_Temp_Inf</t>
  </si>
  <si>
    <t>Set_External_Temp_Sup</t>
  </si>
  <si>
    <t>DIF_COMPUERTA_CALOR</t>
  </si>
  <si>
    <t>DIF_COMPRESORES_CALOR</t>
  </si>
  <si>
    <t>DIF_COMPRESOR_RECUP_CALOR</t>
  </si>
  <si>
    <t>DIF_COMPUERTA_FRIO</t>
  </si>
  <si>
    <t>DIF_COMPRESORES_FRIO</t>
  </si>
  <si>
    <t>DIF_VALV_3_VIAS_APOYO_FRIO</t>
  </si>
  <si>
    <t>DIF_COMPRESOR_RECUP_FRIO</t>
  </si>
  <si>
    <t>Dif_Lim_Temp</t>
  </si>
  <si>
    <t>Set_Lim_Temp_Baja</t>
  </si>
  <si>
    <t>Set_Lim_Temp_Alta</t>
  </si>
  <si>
    <t>CONSIGNA_INI_DESESCARC_PRESS</t>
  </si>
  <si>
    <t>1000.0</t>
  </si>
  <si>
    <t>CONSIGNA_FORZ_DESESCARC_PRESS</t>
  </si>
  <si>
    <t>CONSIGNA_FIN_DESESCARC_PRESS</t>
  </si>
  <si>
    <t>Services</t>
  </si>
  <si>
    <t>ZM_AUTO</t>
  </si>
  <si>
    <t>Zona Muerta Consigna Humedad</t>
  </si>
  <si>
    <t>ZM_HUM</t>
  </si>
  <si>
    <t>TEMP_IMPULSION_2</t>
  </si>
  <si>
    <t>TempSetP_THTune_1</t>
  </si>
  <si>
    <t>Temperatura Retorno Ambiente</t>
  </si>
  <si>
    <t>T_RET_AMB_VIR</t>
  </si>
  <si>
    <t>Temperatura Evaporador C1</t>
  </si>
  <si>
    <t>TEMP_EVAP_CIRC_1</t>
  </si>
  <si>
    <t>DEMANDA_T_GLOBAL</t>
  </si>
  <si>
    <t>Temperatura Evaporador C2</t>
  </si>
  <si>
    <t>TEMP_EVAP_CIRC_2</t>
  </si>
  <si>
    <t>VENT_EXT_CIRC1_ANALOG</t>
  </si>
  <si>
    <t>VENT_EXT_CIRC2_ANALOG</t>
  </si>
  <si>
    <t>VENT_EXT_CIRC3_ANALOG</t>
  </si>
  <si>
    <t>Temperatura Retorno Agua V3V</t>
  </si>
  <si>
    <t>T_RET_AGUA</t>
  </si>
  <si>
    <t>A</t>
  </si>
  <si>
    <t>Current_1_L_SPV</t>
  </si>
  <si>
    <t>Current_2_L_SPV</t>
  </si>
  <si>
    <t>Current_3_L_SPV</t>
  </si>
  <si>
    <t>kVAr</t>
  </si>
  <si>
    <t>Apparent_Power_1_L_SPV</t>
  </si>
  <si>
    <t>Apparent_Power_2_L_SPV</t>
  </si>
  <si>
    <t>Apparent_Power_3_L_SPV</t>
  </si>
  <si>
    <t>kVA</t>
  </si>
  <si>
    <t>Apparent_Power_L_SPV</t>
  </si>
  <si>
    <t>Reactive_Power_1_L_SPV</t>
  </si>
  <si>
    <t>Reactive_Power_2_L_SPV</t>
  </si>
  <si>
    <t>Reactive_Power_3_L_SPV</t>
  </si>
  <si>
    <t>Reactive_Power_L_SPV</t>
  </si>
  <si>
    <t>Power_1_L_SPV</t>
  </si>
  <si>
    <t>Power_2_L_SPV</t>
  </si>
  <si>
    <t>Power_3_L_SPV</t>
  </si>
  <si>
    <t>-5.0</t>
  </si>
  <si>
    <t>MAX_CURRENT</t>
  </si>
  <si>
    <t>CURRENT_DIFF</t>
  </si>
  <si>
    <t>MAX_POWER</t>
  </si>
  <si>
    <t>POWER_DIFF</t>
  </si>
  <si>
    <t>PRESS_COND_CIRC_1_CONV</t>
  </si>
  <si>
    <t>PRESS_COND_CIRC_2_CONV</t>
  </si>
  <si>
    <t>PRESS_COND_CIRC_REC_CONV</t>
  </si>
  <si>
    <t>CONSIGNA_TRABAJO</t>
  </si>
  <si>
    <t>Min_Mix_Damper</t>
  </si>
  <si>
    <t>SET_PRESS_COND_CIRC1</t>
  </si>
  <si>
    <t>DIF_PRESS_COND_CIRC1</t>
  </si>
  <si>
    <t>SET_PRESS_EVAP_CIRC1</t>
  </si>
  <si>
    <t>DIF_PRESS_EVAP_CIRC1</t>
  </si>
  <si>
    <t>Recuc_Power_Req_1</t>
  </si>
  <si>
    <t>Reduc_Power_Req_2</t>
  </si>
  <si>
    <t>DEM_CAUDAL</t>
  </si>
  <si>
    <t>DEM_CAUDAL_BMS</t>
  </si>
  <si>
    <t>TEMP_RET_AMB_0</t>
  </si>
  <si>
    <t>Posicion_VEE_1</t>
  </si>
  <si>
    <t>Sobrecalentamiento Circuito 1</t>
  </si>
  <si>
    <t>Superheat_Circ1</t>
  </si>
  <si>
    <t>Suction_Temp_Circ1</t>
  </si>
  <si>
    <t>Evap_Press_Circ1</t>
  </si>
  <si>
    <t>Evaporation_Temp_Circ1</t>
  </si>
  <si>
    <t>Posicion_VEE_2</t>
  </si>
  <si>
    <t>Sobrecalentamiento Circuito 2</t>
  </si>
  <si>
    <t>Superheat_Circ2</t>
  </si>
  <si>
    <t>Suction_Temp_Circ2</t>
  </si>
  <si>
    <t>Evap_Press_Circ2</t>
  </si>
  <si>
    <t>Evaporation_Temp_Circ2</t>
  </si>
  <si>
    <t>TEMP_RETORNO</t>
  </si>
  <si>
    <t>HUM_RETORNO</t>
  </si>
  <si>
    <t>CorrienteVImpulsion</t>
  </si>
  <si>
    <t>CorrienteVRetorno</t>
  </si>
  <si>
    <t>Temperatura Descarga Circuito 1</t>
  </si>
  <si>
    <t>T_DESC_C1</t>
  </si>
  <si>
    <t>Temperatura Descarga Circuito 2</t>
  </si>
  <si>
    <t>T_DESC_C2</t>
  </si>
  <si>
    <t>Temperatura Descarga Circuito Recuperacion</t>
  </si>
  <si>
    <t>T_DESC_CR</t>
  </si>
  <si>
    <t>DEMANDA_RESISTENCIAS</t>
  </si>
  <si>
    <t>Reduc_Power_Req_Recup</t>
  </si>
  <si>
    <t>HUMIDIFICADOR_ANALOG</t>
  </si>
  <si>
    <t>TEMP_QUEDOR_GAS</t>
  </si>
  <si>
    <t>P_EVAP_CR</t>
  </si>
  <si>
    <t>ENTALPIA_INT</t>
  </si>
  <si>
    <t>ENTALPIA_EXT</t>
  </si>
  <si>
    <t>CONSIGNA_ENTALPIA</t>
  </si>
  <si>
    <t>ENTALPIA_POST</t>
  </si>
  <si>
    <t>TemperVImpulsion</t>
  </si>
  <si>
    <t>TemperVRetorno</t>
  </si>
  <si>
    <t>VALV_3_VIAS_APOYO</t>
  </si>
  <si>
    <t>ppm</t>
  </si>
  <si>
    <t>CAL_AIRE_CO2</t>
  </si>
  <si>
    <t>Work_comp</t>
  </si>
  <si>
    <t>HORAS_C11</t>
  </si>
  <si>
    <t>HORAS_C12</t>
  </si>
  <si>
    <t>HORAS_C13</t>
  </si>
  <si>
    <t>HORAS_C21</t>
  </si>
  <si>
    <t>HORAS_C22</t>
  </si>
  <si>
    <t>HORAS_C23</t>
  </si>
  <si>
    <t>HORAS_CR</t>
  </si>
  <si>
    <t>ARRANQUES_C11</t>
  </si>
  <si>
    <t>ARRANQUES_C12</t>
  </si>
  <si>
    <t>ARRANQUES_C13</t>
  </si>
  <si>
    <t>ARRANQUES_C21</t>
  </si>
  <si>
    <t>ARRANQUES_C22</t>
  </si>
  <si>
    <t>ARRANQUES_C23</t>
  </si>
  <si>
    <t>ARRANQUES_CR</t>
  </si>
  <si>
    <t>m3/h</t>
  </si>
  <si>
    <t>Caudal_Actual_Imp</t>
  </si>
  <si>
    <t>Caudal_Actual_Ret</t>
  </si>
  <si>
    <t>Caudal_Actual_m3s</t>
  </si>
  <si>
    <t>Caudal_Actual_Imp_L</t>
  </si>
  <si>
    <t>Caudal_Actual_Imp_H</t>
  </si>
  <si>
    <t>Caudal_Actual_Ret_L</t>
  </si>
  <si>
    <t>Caudal_Actual_Ret_H</t>
  </si>
  <si>
    <t>CAUDAL_NOMINAL_H_cooling</t>
  </si>
  <si>
    <t>CAUDAL_NOMINAL_H_heating</t>
  </si>
  <si>
    <t>CAUDAL_NOMINAL_L_cooling</t>
  </si>
  <si>
    <t>CAUDAL_NOMINAL_L_heating</t>
  </si>
  <si>
    <t>RET_ARRANQUE_DESESCAR</t>
  </si>
  <si>
    <t>TIEMPO_MIN_DESESCAR</t>
  </si>
  <si>
    <t>TIEMPO_MAX_DESESCAR</t>
  </si>
  <si>
    <t>N_MAX_AL_DESESCARCHE</t>
  </si>
  <si>
    <t>TIEMPO_ENTRE_DESESCAR</t>
  </si>
  <si>
    <t>TIEMPO_INVER_VALV_CICLO</t>
  </si>
  <si>
    <t>TIEMPO_DRIPING</t>
  </si>
  <si>
    <t>Force_Mode_Speed_Circ1</t>
  </si>
  <si>
    <t>DayWeek</t>
  </si>
  <si>
    <t>Clock / TimeDate</t>
  </si>
  <si>
    <t>NEW_DAY</t>
  </si>
  <si>
    <t>NEW_MONTH</t>
  </si>
  <si>
    <t>NEW_YEAR</t>
  </si>
  <si>
    <t>h</t>
  </si>
  <si>
    <t>NEW_HOUR</t>
  </si>
  <si>
    <t>NEW_MINUTE</t>
  </si>
  <si>
    <t>F1_Start_Hour</t>
  </si>
  <si>
    <t>F1_Start_Minute</t>
  </si>
  <si>
    <t>Consigna Frio Fase 1 0=Off / 1= Consigna Confort / 2=Consigna Eco</t>
  </si>
  <si>
    <t>F1_Set_Cool</t>
  </si>
  <si>
    <t>F2_Start_Hour</t>
  </si>
  <si>
    <t>F2_Start_Minute</t>
  </si>
  <si>
    <t>Consigna Frio Fase 2 0=Off / 1= Consigna Confort / 2=Consigna Eco</t>
  </si>
  <si>
    <t>F2_Set_Cool</t>
  </si>
  <si>
    <t>Consigna Calor Fase 1 0=Off / 1= Consigna Confort / 2=Consigna Eco</t>
  </si>
  <si>
    <t>F1_Set_Heat</t>
  </si>
  <si>
    <t>Consigna Calor Fase 2 0=Off / 1= Consigna Confort / 2=Consigna Eco</t>
  </si>
  <si>
    <t>F2_Set_Heat</t>
  </si>
  <si>
    <t>Day_Scheduler_Setting</t>
  </si>
  <si>
    <t>Copiar Horarios</t>
  </si>
  <si>
    <t>Day_Scheduler_Copy_Go</t>
  </si>
  <si>
    <t>Day_Scheduler_Copy</t>
  </si>
  <si>
    <t>F3_Start_Hour</t>
  </si>
  <si>
    <t>F3_Start_Minute</t>
  </si>
  <si>
    <t>F4_Start_Minute</t>
  </si>
  <si>
    <t>F4_Start_Hour</t>
  </si>
  <si>
    <t>Consigna Frio Fase 3 0=Off / 1= Consigna Confort / 2=Consigna Eco</t>
  </si>
  <si>
    <t>F3_Set_Cool</t>
  </si>
  <si>
    <t>Consigna Frio Fase 4 0=Off / 1= Consigna Confort / 2=Consigna Eco</t>
  </si>
  <si>
    <t>F4_Set_Cool</t>
  </si>
  <si>
    <t>Consigna Calor Fase 3 0=Off / 1= Consigna Confort / 2=Consigna Eco</t>
  </si>
  <si>
    <t>F3_Set_Heat</t>
  </si>
  <si>
    <t>Consigna Calor Fase 4 0=Off / 1= Consigna Confort / 2=Consigna Eco</t>
  </si>
  <si>
    <t>F4_Set_Heat</t>
  </si>
  <si>
    <t>P3_Set_Cool</t>
  </si>
  <si>
    <t>Freecooling_heating_Mode</t>
  </si>
  <si>
    <t>HumSetP_THTune_1</t>
  </si>
  <si>
    <t>Fan1_Setpoint</t>
  </si>
  <si>
    <t>Fan2_Setpoint</t>
  </si>
  <si>
    <t>Fan3_Setpoint</t>
  </si>
  <si>
    <t>Circuit_Num</t>
  </si>
  <si>
    <t>Estados_1</t>
  </si>
  <si>
    <t>Estados_2</t>
  </si>
  <si>
    <t>SpeedReq_EBM_1</t>
  </si>
  <si>
    <t>SpeedReq_EBM_2</t>
  </si>
  <si>
    <t>SpeedReq_EBM_3</t>
  </si>
  <si>
    <t>Potencia_Frig_E</t>
  </si>
  <si>
    <t>Potencia_Frig_D</t>
  </si>
  <si>
    <t>Potencia_Frig_Sensible_E</t>
  </si>
  <si>
    <t>Potencia_Frig_Sensible_D</t>
  </si>
  <si>
    <t>Potencia_Frig_Latente_E</t>
  </si>
  <si>
    <t>Potencia_Frig_Latente_D</t>
  </si>
  <si>
    <t>COP</t>
  </si>
  <si>
    <t>EER</t>
  </si>
  <si>
    <t>Apparent_Energy_L_MSK</t>
  </si>
  <si>
    <t>Apparent_Energy_M_MSK</t>
  </si>
  <si>
    <t>Apparent_Energy_H_MSK</t>
  </si>
  <si>
    <t>Energy_L_MSK</t>
  </si>
  <si>
    <t>Energy_M_MSK</t>
  </si>
  <si>
    <t>Energy_H_MSK</t>
  </si>
  <si>
    <t>F_MIN</t>
  </si>
  <si>
    <t>RET_PRIMER_DESESCAR</t>
  </si>
  <si>
    <t>CURRENT_HOUR</t>
  </si>
  <si>
    <t>CURRENT_MINUTE</t>
  </si>
  <si>
    <t>HORAS_UNIDAD</t>
  </si>
  <si>
    <t>ARRANQUES_UNIDAD</t>
  </si>
  <si>
    <t>Pa</t>
  </si>
  <si>
    <t>PresionImpulsion</t>
  </si>
  <si>
    <t>HORAS_C31</t>
  </si>
  <si>
    <t>HORAS_C32</t>
  </si>
  <si>
    <t>ARRANQUES_C31</t>
  </si>
  <si>
    <t>ARRANQUES_C32</t>
  </si>
  <si>
    <t>Air quality</t>
  </si>
  <si>
    <t>Setp_Reg_CO2</t>
  </si>
  <si>
    <t>Diff_Reg_CO2</t>
  </si>
  <si>
    <t>Setp_Reg_VOC</t>
  </si>
  <si>
    <t>Diff_Reg_VOC</t>
  </si>
  <si>
    <t>P_DIF_IMP_RET</t>
  </si>
  <si>
    <t>MAX_P_DIF_IMP_RET</t>
  </si>
  <si>
    <t>W</t>
  </si>
  <si>
    <t>PotenciaVImpulsion</t>
  </si>
  <si>
    <t>DC_VImpulsion</t>
  </si>
  <si>
    <t>VelocidadVImpulsion</t>
  </si>
  <si>
    <t>PotenciaVRetorno</t>
  </si>
  <si>
    <t>DC_VRetorno</t>
  </si>
  <si>
    <t>ElectrTemp_EBM_Ret</t>
  </si>
  <si>
    <t>VelocidadVRetorno</t>
  </si>
  <si>
    <t>HORAS_ET1</t>
  </si>
  <si>
    <t>HORAS_ET2</t>
  </si>
  <si>
    <t>HORAS_V_IMP</t>
  </si>
  <si>
    <t>HORAS_V_RET</t>
  </si>
  <si>
    <t>HORAS_V_EXT_1</t>
  </si>
  <si>
    <t>HORAS_V_EXT_2</t>
  </si>
  <si>
    <t>HORAS_V_EXT_3</t>
  </si>
  <si>
    <t>UnitStatus</t>
  </si>
  <si>
    <t>GLOBAL_ALARM</t>
  </si>
  <si>
    <t>RESET_BMS</t>
  </si>
  <si>
    <t>Communication</t>
  </si>
  <si>
    <t>ON_LINE</t>
  </si>
  <si>
    <t>ID_AL_KL_VENT_INT</t>
  </si>
  <si>
    <t>SysOn</t>
  </si>
  <si>
    <t>COMPRESOR1_CIRC1</t>
  </si>
  <si>
    <t>COMPRESOR2_CIRC1</t>
  </si>
  <si>
    <t>COMPRESOR1_CIRC2</t>
  </si>
  <si>
    <t>COMPRESOR2_CIRC2</t>
  </si>
  <si>
    <t>VENT_INTERIOR</t>
  </si>
  <si>
    <t>INV_VER</t>
  </si>
  <si>
    <t>COMPRESOR1_CIRC3</t>
  </si>
  <si>
    <t>COMPRESOR2_CIRC3</t>
  </si>
  <si>
    <t>COMPRESOR1_CIRC_REC</t>
  </si>
  <si>
    <t>En_FRIO_CALOR_Auto</t>
  </si>
  <si>
    <t>Cambio Invierno / Verano</t>
  </si>
  <si>
    <t>INV_VER_X_PANT</t>
  </si>
  <si>
    <t>LIMITE1</t>
  </si>
  <si>
    <t>LIMITE2</t>
  </si>
  <si>
    <t>LIMITE3</t>
  </si>
  <si>
    <t>LIMITE4</t>
  </si>
  <si>
    <t>LIMITE5</t>
  </si>
  <si>
    <t>LIMITE6</t>
  </si>
  <si>
    <t>En_Dig_In_OnOff</t>
  </si>
  <si>
    <t>ID_AL_PRESOST_ALTA_DESC_CIRC1</t>
  </si>
  <si>
    <t>ID_AL_PRESOST_BAJA_CIRC1</t>
  </si>
  <si>
    <t>mID_AL_TERMICOS_CIRC1</t>
  </si>
  <si>
    <t>COMPRESOR3_CIRC1</t>
  </si>
  <si>
    <t>ID_AL_PRESOST_ALTA_DESC_CIRC2</t>
  </si>
  <si>
    <t>ID_AL_PRESOST_BAJA_CIRC2</t>
  </si>
  <si>
    <t>mID_AL_TERMICOS_CIRC2</t>
  </si>
  <si>
    <t>COMPRESOR3_CIRC2</t>
  </si>
  <si>
    <t>ID_AL_PRESOST_ALTA_DESC_CIRC3</t>
  </si>
  <si>
    <t>ID_AL_PRESOST_BAJA_CIRC3</t>
  </si>
  <si>
    <t>mID_AL_TERMICOS_CIRC3</t>
  </si>
  <si>
    <t>COMPRESOR3_CIRC3</t>
  </si>
  <si>
    <t>ID_AL_QUEMA_RESIST</t>
  </si>
  <si>
    <t>ID_AL_PRESOST_ALTA_DESC_CIRC_REC</t>
  </si>
  <si>
    <t>ID_AL_PRESOST_BAJA_CIRC_REC</t>
  </si>
  <si>
    <t>ID_AL_TERMICO_COMPRE1_CIRC_REC</t>
  </si>
  <si>
    <t>ACT_DESC_CIRC1</t>
  </si>
  <si>
    <t>ACT_DESC_CIRC2</t>
  </si>
  <si>
    <t>ACT_DESC_CIRC3</t>
  </si>
  <si>
    <t>Superv_OnOff</t>
  </si>
  <si>
    <t>Al_Present_EBM_Imp</t>
  </si>
  <si>
    <t>ID_AL_ANTIFREEZE_COIL</t>
  </si>
  <si>
    <t>ONLY_COOLING</t>
  </si>
  <si>
    <t>ONLY_HEATING</t>
  </si>
  <si>
    <t>Invierno/Verano</t>
  </si>
  <si>
    <t>COOLING_HEATING</t>
  </si>
  <si>
    <t>Write_Data</t>
  </si>
  <si>
    <t>VALV_INVERSION_CICLO_CIRC1</t>
  </si>
  <si>
    <t>VALV_INVERSION_CICLO_CIRC2</t>
  </si>
  <si>
    <t>VALV_INVERSION_CICLO_CIRC3</t>
  </si>
  <si>
    <t>ETAPA1_QUEMA_RESIS</t>
  </si>
  <si>
    <t>ETAPA2_QUEMA_RESIS</t>
  </si>
  <si>
    <t>HUMIDIFICADOR</t>
  </si>
  <si>
    <t>VENT_EXT_CIRC1_ESTRELLA</t>
  </si>
  <si>
    <t>VENT_EXT_CIRC1_TRIANGULO</t>
  </si>
  <si>
    <t>VENT_EXT_CIRC2_ESTRELLA</t>
  </si>
  <si>
    <t>VENT_EXT_CIRC2_TRIANGULO</t>
  </si>
  <si>
    <t>VENT_EXT_CIRC3_ESTRELLA</t>
  </si>
  <si>
    <t>VENT_EXT_CIRC3_TRIANGULO</t>
  </si>
  <si>
    <t>mAL_CONT</t>
  </si>
  <si>
    <t>Gen_High_Pressure_Circ1</t>
  </si>
  <si>
    <t>Gen_High_Pressure_Circ2</t>
  </si>
  <si>
    <t>Gen_High_Pressure_Circ3</t>
  </si>
  <si>
    <t>Gen_High_Pressure_Circ_REC</t>
  </si>
  <si>
    <t>Gen_Low_Pressure_Circ1</t>
  </si>
  <si>
    <t>Gen_Low_Pressure_Circ2</t>
  </si>
  <si>
    <t>Gen_Low_Pressure_Circ3</t>
  </si>
  <si>
    <t>Gen_Low_Pressure_Circ_REC</t>
  </si>
  <si>
    <t>FreeCool_Active</t>
  </si>
  <si>
    <t>FreeHeat_Active</t>
  </si>
  <si>
    <t>EN_SCHEDULE_ON_OFF</t>
  </si>
  <si>
    <t>ACT_FASES_PCO</t>
  </si>
  <si>
    <t>Al_Probe03</t>
  </si>
  <si>
    <t>Al_Probe12</t>
  </si>
  <si>
    <t>Al_Probe05</t>
  </si>
  <si>
    <t>ACT_FREE_COOLING_PANT</t>
  </si>
  <si>
    <t>Freeheating Activo</t>
  </si>
  <si>
    <t>ACT_FREE_HEATING_PANT</t>
  </si>
  <si>
    <t>En_Day_Sch_1</t>
  </si>
  <si>
    <t>En_Day_Sch_2</t>
  </si>
  <si>
    <t>ID_AL_RECUP_ROT</t>
  </si>
  <si>
    <t>Al_Probe01</t>
  </si>
  <si>
    <t>Al_Probe02</t>
  </si>
  <si>
    <t>Al_Probe04</t>
  </si>
  <si>
    <t>Al_Probe06</t>
  </si>
  <si>
    <t>RESET_CONT_H</t>
  </si>
  <si>
    <t>AL_CONT</t>
  </si>
  <si>
    <t>FE_VIDA</t>
  </si>
  <si>
    <t>INV_VER_GLOBAL</t>
  </si>
  <si>
    <t>PM_GLOBAL</t>
  </si>
  <si>
    <t>AL_TERM_VENT_INTERIOR</t>
  </si>
  <si>
    <t>Al_Est_Grave_Vent_Interior</t>
  </si>
  <si>
    <t>Al_Est_Vent_Interior</t>
  </si>
  <si>
    <t>mID_AL_HUMO</t>
  </si>
  <si>
    <t>AlrmPresent_EBM_Imp</t>
  </si>
  <si>
    <t>Al_Offline_EBM_Imp</t>
  </si>
  <si>
    <t>Al_Present_EBM_Ret</t>
  </si>
  <si>
    <t>Al_Offline_EBM_Ret</t>
  </si>
  <si>
    <t>mID_AL_INUNDACION</t>
  </si>
  <si>
    <t>Alrm_Caudal_Int</t>
  </si>
  <si>
    <t>Alrm_Caudal_Ret</t>
  </si>
  <si>
    <t>AVISO_Tmecla_BAJA_PARO_COMPRE</t>
  </si>
  <si>
    <t>LIMITE7</t>
  </si>
  <si>
    <t>LIMITE8</t>
  </si>
  <si>
    <t>LIMITE9</t>
  </si>
  <si>
    <t>mID_AL_TERMICO_COMPRE1_CIRC_REC</t>
  </si>
  <si>
    <t>mAl_HP_Pressostat_Circ1</t>
  </si>
  <si>
    <t>mAl_HP_Pressostat_Circ2</t>
  </si>
  <si>
    <t>mAl_HP_Pressostat_Circ3</t>
  </si>
  <si>
    <t>mAl_HP_Pressostat_Circ_REC</t>
  </si>
  <si>
    <t>mAl_HP_Transducer_Circ1</t>
  </si>
  <si>
    <t>mAl_HP_Transducer_Circ2</t>
  </si>
  <si>
    <t>mAl_HP_Transducer_Circ3</t>
  </si>
  <si>
    <t>mAl_HP_Transducer_Circ_REC</t>
  </si>
  <si>
    <t>Gen_LP_Pressostat_Circ1</t>
  </si>
  <si>
    <t>Gen_LP_Pressostat_Circ2</t>
  </si>
  <si>
    <t>Gen_LP_Pressostat_Circ3</t>
  </si>
  <si>
    <t>Gen_LP_Pressostat_Circ_REC</t>
  </si>
  <si>
    <t>Gen_LP_Transducer_Circ1</t>
  </si>
  <si>
    <t>Gen_LP_Transducer_Circ2</t>
  </si>
  <si>
    <t>Gen_LP_Transducer_Circ3</t>
  </si>
  <si>
    <t>Gen_LP_Transducer_Circ_REC</t>
  </si>
  <si>
    <t>Al_Probe08</t>
  </si>
  <si>
    <t>Al_Probe07</t>
  </si>
  <si>
    <t>VENT_AIRE_RET_TN</t>
  </si>
  <si>
    <t>Al_Probe24</t>
  </si>
  <si>
    <t>En_Energy_management</t>
  </si>
  <si>
    <t>AVISO_Texterior_BAJA_PARO_COMPRE</t>
  </si>
  <si>
    <t>Al_Probe_T_Ret</t>
  </si>
  <si>
    <t>Al_Probe_H_Ret</t>
  </si>
  <si>
    <t>mID_AL_FILTRO</t>
  </si>
  <si>
    <t>W_FILTRO</t>
  </si>
  <si>
    <t>ETAPA_POST_CALEN_1</t>
  </si>
  <si>
    <t>ETAPA_POST_CALEN_2</t>
  </si>
  <si>
    <t>ETAPA_R_PRECAL_1</t>
  </si>
  <si>
    <t>ETAPA_R_PRECAL_2</t>
  </si>
  <si>
    <t>mID_AL_FUGA_REFRI</t>
  </si>
  <si>
    <t>Al_Probe_Pr_I_R</t>
  </si>
  <si>
    <t>En_GLOBAL_Humedad</t>
  </si>
  <si>
    <t>PERMISO_SECAR</t>
  </si>
  <si>
    <t>ACTIVO_GLOBAL</t>
  </si>
  <si>
    <t>Al_Present_NIC_Ret</t>
  </si>
  <si>
    <t>Al_Offline_NIC_Ret</t>
  </si>
  <si>
    <t>INTEGER VARIABLES (Holding Registers-Word Type)</t>
  </si>
  <si>
    <t>ANALOG VARIABLES (Holding Registers-Word Type)</t>
  </si>
  <si>
    <t>Mes Nuevo</t>
  </si>
  <si>
    <t>Presión Evaporador C1</t>
  </si>
  <si>
    <t>Presión Evaporador C2</t>
  </si>
  <si>
    <t>Presión Evaporador C3</t>
  </si>
  <si>
    <t>Corriente Ventilador Impulsión</t>
  </si>
  <si>
    <t>Corriente Ventilador Retorno</t>
  </si>
  <si>
    <t>Entalpía Interior</t>
  </si>
  <si>
    <t>Entalpía Exterior</t>
  </si>
  <si>
    <t>Consigna Entalpía</t>
  </si>
  <si>
    <t>Entalpía Post Batería</t>
  </si>
  <si>
    <t>Temperatura Ventilador Impulsión</t>
  </si>
  <si>
    <t>Temperatura Ventilador Retorno</t>
  </si>
  <si>
    <t>Válvula 3 Vías Apoyo</t>
  </si>
  <si>
    <t>Alarma General</t>
  </si>
  <si>
    <t>Estado Ventilador Interior</t>
  </si>
  <si>
    <t>Humidificador</t>
  </si>
  <si>
    <t>Alta Presión Presostato Circ1</t>
  </si>
  <si>
    <t>Alta Presión Presostato Circ2</t>
  </si>
  <si>
    <t>Alta Presión Presostato Circ3</t>
  </si>
  <si>
    <t>Alta Presión Presostato Circ Recuperación</t>
  </si>
  <si>
    <t>Baja Presión Presostato Circ1</t>
  </si>
  <si>
    <t>Baja Presión Presostato Circ2</t>
  </si>
  <si>
    <t>Baja Presión Presostato Circ3</t>
  </si>
  <si>
    <t>Baja Presión Presostato Circ Recuperación</t>
  </si>
  <si>
    <t>Freecooling Activo</t>
  </si>
  <si>
    <t>Horario On Off</t>
  </si>
  <si>
    <t>Consigna Modo Auto</t>
  </si>
  <si>
    <t>Consigna Calor Confort</t>
  </si>
  <si>
    <t>Consigna Frío Confort</t>
  </si>
  <si>
    <t>Consigna Humedad</t>
  </si>
  <si>
    <t>Presión Condensador Circuito 1</t>
  </si>
  <si>
    <t>Presión Condensador Circuito 2</t>
  </si>
  <si>
    <t>Presión Condensador Circuito Recuperación</t>
  </si>
  <si>
    <t>Temperatura Exterior</t>
  </si>
  <si>
    <t>Temperatura Mezcla</t>
  </si>
  <si>
    <t>Temperatura Retorno / Ambiente</t>
  </si>
  <si>
    <t>Delta Temperatura Activación Free-Cooling</t>
  </si>
  <si>
    <t>Diferencial Entalpía On</t>
  </si>
  <si>
    <t>Diferencial Compuerta Calor</t>
  </si>
  <si>
    <t>Diferencial Compresores Calor</t>
  </si>
  <si>
    <t>Diferencial Compresor Recuperación Calor</t>
  </si>
  <si>
    <t>Diferencial Compuerta Frío</t>
  </si>
  <si>
    <t>Diferencial Compresores Frío</t>
  </si>
  <si>
    <t>Diferencial Compresor Recuperación Frío</t>
  </si>
  <si>
    <t>Diferencial Limitadora Impulsión</t>
  </si>
  <si>
    <t>Presion Evaporación Circuito 1 Convertida A Temperatura</t>
  </si>
  <si>
    <t>Presion Evaporación Circuito 2 Convertida A Temperatura</t>
  </si>
  <si>
    <t>Control Ventilador Exterior Circuito 1</t>
  </si>
  <si>
    <t>Control Ventilador Exterior Circuito 2</t>
  </si>
  <si>
    <t>Control Ventilador Exterior Circuito 3</t>
  </si>
  <si>
    <t>Presión Condensador Circuito 1 Convertido A Temperatura</t>
  </si>
  <si>
    <t>Presión Condensador Circuito 2 Convertido A Temperatura</t>
  </si>
  <si>
    <t>Presión Condensador Circuito Recuperación Convertida A Temperatura</t>
  </si>
  <si>
    <t>Temperatura Quemador Gas</t>
  </si>
  <si>
    <t>Calidad Aire Co2</t>
  </si>
  <si>
    <t>Nº Compresores Funcionando</t>
  </si>
  <si>
    <t>Horas Compresor 1 C1</t>
  </si>
  <si>
    <t>Horas Compresor 1 C2</t>
  </si>
  <si>
    <t>Horas Compresor 1 C3</t>
  </si>
  <si>
    <t>Horas Compresor 2 C1</t>
  </si>
  <si>
    <t>Horas Compresor 2 C2</t>
  </si>
  <si>
    <t>Horas Compresor 2 C3</t>
  </si>
  <si>
    <t>Arranques Compresor 1 C1</t>
  </si>
  <si>
    <t>Arranques Compresor 1 C2</t>
  </si>
  <si>
    <t>Arranques Compresor 1 C3</t>
  </si>
  <si>
    <t>Arranques Compresor 2 C1</t>
  </si>
  <si>
    <t>Arranques Compresor 2 C2</t>
  </si>
  <si>
    <t>Arranques Compresor 2 C3</t>
  </si>
  <si>
    <t>Caudal Actual Ventilador Impulsión</t>
  </si>
  <si>
    <t>Caudal Actual Ventilador Retorno</t>
  </si>
  <si>
    <t>Caudal Nominal H Ventilador Frio</t>
  </si>
  <si>
    <t>Caudal Nominal H Ventilador Calor</t>
  </si>
  <si>
    <t>Caudal Nominal L Ventilador Frio</t>
  </si>
  <si>
    <t>Caudal Nominal L Ventilador Calor</t>
  </si>
  <si>
    <t>Caudal Nominal H Ventilador Frio Retorno</t>
  </si>
  <si>
    <t>Caudal Nominal H Ventlador Calor Retorno</t>
  </si>
  <si>
    <t>Caudal Nominal L Ventilador Frio Retorno</t>
  </si>
  <si>
    <t>Caudal Nominal L Ventilador Calor Retorno</t>
  </si>
  <si>
    <t>Retardo Arranque Desescarche</t>
  </si>
  <si>
    <t>Tiempo Mínimo Desescarche</t>
  </si>
  <si>
    <t>Tiempo Máximo Desescarche</t>
  </si>
  <si>
    <t>Nº Max De Alarmas</t>
  </si>
  <si>
    <t>Tiempo Entre Desescarches</t>
  </si>
  <si>
    <t>Tiempo Inversión Válvula Ciclo</t>
  </si>
  <si>
    <t>Tiempo Driping</t>
  </si>
  <si>
    <t>Cálculo Día De La Semana Según Fecha Actual (1 Lunes, 2 Martes…)</t>
  </si>
  <si>
    <t>Dia Nuevo</t>
  </si>
  <si>
    <t>Año Nuevo</t>
  </si>
  <si>
    <t>Hora Nueva</t>
  </si>
  <si>
    <t>Minuto Nuevo</t>
  </si>
  <si>
    <t>Hora Arranque Fase 1</t>
  </si>
  <si>
    <t>Minuto Arranque Fase 1</t>
  </si>
  <si>
    <t>Hora Arranque Fase 2</t>
  </si>
  <si>
    <t>Minuto Arranque Fase 2</t>
  </si>
  <si>
    <t>Dia A Configurar Del Horario 0=Lunes / 1=Martes / 2=Miercoles / 3=Jueves / 4=Viernes / 5=Sabado / 6=Domingo / Ninguno</t>
  </si>
  <si>
    <t>Copiar El Horario Al Día 0=Lunes / 1=Martes / 2=Miercoles / 3=Jueves / 4=Viernes / 5=Sabado / 6=Domingo / Todos</t>
  </si>
  <si>
    <t>Hora Arranque Fase 3</t>
  </si>
  <si>
    <t>Minuto Arranque Fase 3</t>
  </si>
  <si>
    <t>Minuto Arranque Fase 4</t>
  </si>
  <si>
    <t>Hora Arranque Fase 4</t>
  </si>
  <si>
    <t>Número De Circuitos En La Unidad</t>
  </si>
  <si>
    <t>Requisitos Velocidad [Rpm/%/V] Para Ventilador Ebmpapst 1</t>
  </si>
  <si>
    <t>Requisitos Velocidad [Rpm/%/V] Para Ventilador Ebmpapst 2</t>
  </si>
  <si>
    <t>Requisitos Velocidad [Rpm/%/V] Para Ventilador Ebmpapst 3</t>
  </si>
  <si>
    <t>Retorno Primer Desescarche</t>
  </si>
  <si>
    <t>Hora Actual</t>
  </si>
  <si>
    <t>Minuto Actual</t>
  </si>
  <si>
    <t>Horas De Funcionamiento</t>
  </si>
  <si>
    <t>Arranques De La Máquina</t>
  </si>
  <si>
    <t>Horas Compresor 3 C1</t>
  </si>
  <si>
    <t>Horas Compresor 3 C2</t>
  </si>
  <si>
    <t>Arranques Compresor 3 C1</t>
  </si>
  <si>
    <t>Arranques Compresor 3 C2</t>
  </si>
  <si>
    <t>Diferencia Presion Impulsión-Retorno</t>
  </si>
  <si>
    <t>Horas Etapa Resistencias 1</t>
  </si>
  <si>
    <t>Horas Etapa Resistencias 2</t>
  </si>
  <si>
    <t>Horas Funcionamiento Ventilador Exterior 1</t>
  </si>
  <si>
    <t>Horas Funcionamiento Ventilador Exterior 2</t>
  </si>
  <si>
    <t>Horas Funcionamiento Ventilador Exterior 3</t>
  </si>
  <si>
    <t>Reset Alarma Por Modbus</t>
  </si>
  <si>
    <t>Estado Supervisión (1=Online)</t>
  </si>
  <si>
    <t>Alarma Klixon Ventilador Interior / Paro Ext. Inmediato</t>
  </si>
  <si>
    <t>Habilitado Cambio Calor / Frío Automatico</t>
  </si>
  <si>
    <t>Habilita Entrada Remoto On / Off</t>
  </si>
  <si>
    <t>Termicos Compresores Del Circuito 1</t>
  </si>
  <si>
    <t>Termicos Compresores Del Circuito 2</t>
  </si>
  <si>
    <t>Termicos Compresores Del Circuito 3</t>
  </si>
  <si>
    <t>Alarma Quemador / Resistencia (Caudal/Termistores)</t>
  </si>
  <si>
    <t>Alarma Presostato De Alta Circ. Recuperación / Klixon Ventilador Circ. Recuperación / Rele Klixon Descarga Circ. Recuperación</t>
  </si>
  <si>
    <t>Alarma Térmico Compresor 1 Circ. Recuperación</t>
  </si>
  <si>
    <t>Estado Desescarche C1</t>
  </si>
  <si>
    <t>Estado Desescarche C2</t>
  </si>
  <si>
    <t>Estado Desescarche C3</t>
  </si>
  <si>
    <t>On-Off Por Supervisor</t>
  </si>
  <si>
    <t>Alarma Ventilador Impulsión Ebm</t>
  </si>
  <si>
    <t>Solo Verano</t>
  </si>
  <si>
    <t>Solo Invierno</t>
  </si>
  <si>
    <t>Válvula Inversión Ciclo Circuito 1 0=Calor / 1=Frio</t>
  </si>
  <si>
    <t>Válvula Inversión Ciclo Circuito 2 0=Calor / 1=Frio</t>
  </si>
  <si>
    <t>Válvula Inversión Ciclo Circuito 3 0=Calor / 1=Frio</t>
  </si>
  <si>
    <t>Etapa 1 Quemador / Resistencia</t>
  </si>
  <si>
    <t>Etapa 2 Quemador / Resistencia</t>
  </si>
  <si>
    <t>Ventilador Exterior Circuito 1 Estrella</t>
  </si>
  <si>
    <t>Ventilador Exterior Circuito 1 Triangulo</t>
  </si>
  <si>
    <t>Ventilador Exterior Circuito 2 Estrella</t>
  </si>
  <si>
    <t>Ventilador Exterior Circuito 2 Triangulo</t>
  </si>
  <si>
    <t>Ventilador Exterior Circuito 3 Estrella</t>
  </si>
  <si>
    <t>Ventilador Exterior Circuito 3 Triangulo</t>
  </si>
  <si>
    <t>Alarmas Horas Funcionamiento Comp1 Circ1</t>
  </si>
  <si>
    <t>Alarmas Horas Funcionamiento Comp1 Circ2</t>
  </si>
  <si>
    <t>Alarmas Horas Funcionamiento Comp3 Circ1</t>
  </si>
  <si>
    <t>Alarmas Horas Funcionamiento Comp2 Circ2</t>
  </si>
  <si>
    <t>Alarmas Horas Funcionamiento Comp1 Circ3</t>
  </si>
  <si>
    <t>Alarmas Horas Funcionamiento Comp2 Circ3</t>
  </si>
  <si>
    <t>Activar Fases Pco</t>
  </si>
  <si>
    <t>Activar Campos Dia Programado 1</t>
  </si>
  <si>
    <t>Activar Campos Dia Programado 2</t>
  </si>
  <si>
    <t>Recuperador Rotativo Alarma</t>
  </si>
  <si>
    <t>Temperatura Impulsión</t>
  </si>
  <si>
    <t>Alarma Termico Ventilador Interior</t>
  </si>
  <si>
    <t>Alarma Estado Grave Ventilador Interior</t>
  </si>
  <si>
    <t>Alarma Estado Ventilador Interior</t>
  </si>
  <si>
    <t>Estado Entrada Booleana (0:Contacto Cerrado, 1:Abierto) Inundación</t>
  </si>
  <si>
    <t>Falta Caudal Ventilador Interior</t>
  </si>
  <si>
    <t>Falta Caudal Ventilador Retorno</t>
  </si>
  <si>
    <t>Aviso Temperatura Mezcla Baja Bloqueo Funcionamiento Compresores</t>
  </si>
  <si>
    <t>Alarmas Horas Funcionamiento Comp3 Circ2</t>
  </si>
  <si>
    <t>Memoria Alarma Presostato De Alta Condensación Circuito 1</t>
  </si>
  <si>
    <t>Memoria Alarma Presostato De Alta Condensación Circuito 2</t>
  </si>
  <si>
    <t>Memoria Alarma Presostato De Alta Condensación Circuito 3</t>
  </si>
  <si>
    <t>Memoria Alarma Presostato De Alta Condensación Circuito Recuperación</t>
  </si>
  <si>
    <t>Memoria Alarma Presión Condensación Alta Circuito 1</t>
  </si>
  <si>
    <t>Memoria Alarma Presión Condensación Alta Circuito 2</t>
  </si>
  <si>
    <t>Memoria Alarma Presión Condensación Alta Circuito 3</t>
  </si>
  <si>
    <t>Memoria Alarma Presión Condensación Alta Circuito Recuperación</t>
  </si>
  <si>
    <t>Alarma Baja Presión Por Presostato Circ1</t>
  </si>
  <si>
    <t>Alarma Baja Presión Por Presostato Circ2</t>
  </si>
  <si>
    <t>Alarma Baja Presión Por Presostato Circ3</t>
  </si>
  <si>
    <t>Alarma Baja Presión Por Presostato Circ Recup.</t>
  </si>
  <si>
    <t>Paro/Marcha Ventilador Aire Retorno</t>
  </si>
  <si>
    <t>Habilitar Control Demanda</t>
  </si>
  <si>
    <t>Aviso Temperatura Exterior Baja Bloqueo Funcionamiento Compresores</t>
  </si>
  <si>
    <t>Alarma Sonda Desconectada O Estropeada Temperatura Retorno Aire</t>
  </si>
  <si>
    <t>Alarma Sonda Desconectada O Estropeada Humedad Retorno Aire</t>
  </si>
  <si>
    <t>Status Of The Boolean Input (0: Contact Closed, 1: Contact Open)</t>
  </si>
  <si>
    <t>Aviso Filtro Sucio</t>
  </si>
  <si>
    <t>Etapa 1 Bateria Postcalentamiento</t>
  </si>
  <si>
    <t>Etapa 2 Bateria Postcalentamiento</t>
  </si>
  <si>
    <t>Etapa 1 Bateria Precalentamiento</t>
  </si>
  <si>
    <t>Etapa 2 Bateria Precalentamiento</t>
  </si>
  <si>
    <t>Detector De Fuga Refrigerante</t>
  </si>
  <si>
    <t>Alarma Sonda Desconectada O Estropeada Presion Diferencial</t>
  </si>
  <si>
    <t>A6_SH_EVAP_TEMP</t>
  </si>
  <si>
    <t>Evaporation temperature valve A</t>
  </si>
  <si>
    <t>Parameters</t>
  </si>
  <si>
    <t>-76.0</t>
  </si>
  <si>
    <t>392.0</t>
  </si>
  <si>
    <t>ENTALPIA_RET</t>
  </si>
  <si>
    <t>A17_EEV_POSITION_PERCENT_SHOW</t>
  </si>
  <si>
    <t>Opening percent valve circuit 1</t>
  </si>
  <si>
    <t>PB_1</t>
  </si>
  <si>
    <t>T_PB_1</t>
  </si>
  <si>
    <t>PB_2</t>
  </si>
  <si>
    <t>T_PB_2</t>
  </si>
  <si>
    <t>PB_3</t>
  </si>
  <si>
    <t>Minimum opening for mixing damper</t>
  </si>
  <si>
    <t>barg/psig</t>
  </si>
  <si>
    <t>-290.0</t>
  </si>
  <si>
    <t>2900.0</t>
  </si>
  <si>
    <t>K/°F</t>
  </si>
  <si>
    <t>A10_SH_SH</t>
  </si>
  <si>
    <t>A5_SH_SUCT_TEMP</t>
  </si>
  <si>
    <t>A7_SH_EVAP_PRES</t>
  </si>
  <si>
    <t>barg</t>
  </si>
  <si>
    <t>A71_SH_EVAP_PRES_2ND</t>
  </si>
  <si>
    <t>A70_SH_EVAP_TEMP_2ND</t>
  </si>
  <si>
    <t>P_EVAP_CR_CONV</t>
  </si>
  <si>
    <t>ENTALPIA_IMP</t>
  </si>
  <si>
    <t>MotTemp</t>
  </si>
  <si>
    <t>CONSIGNA_AUTO_ECO</t>
  </si>
  <si>
    <t>DIF_RESIS_DES_PERM</t>
  </si>
  <si>
    <t>Freq_L_SPV</t>
  </si>
  <si>
    <t>Hz</t>
  </si>
  <si>
    <t>TEMP_EXT_PROTEC_COMPRE</t>
  </si>
  <si>
    <t>DIF_TEMP_EXT_PROTEC_COMPRE</t>
  </si>
  <si>
    <t>TEMP_EXT_REDUC_COMPRE</t>
  </si>
  <si>
    <t>TEMP_EXT_FIN_REDUC_COMPRE</t>
  </si>
  <si>
    <t>CONSIGNA_RESIST_PRE</t>
  </si>
  <si>
    <t>DIF_RESIST_PRE</t>
  </si>
  <si>
    <t>FullInv_ZM_C1</t>
  </si>
  <si>
    <t>Zona Muerta 1 Calor</t>
  </si>
  <si>
    <t>FullInv_Dif_C1</t>
  </si>
  <si>
    <t>Diferencial 1 Calor</t>
  </si>
  <si>
    <t>FullInv_ZM_C2</t>
  </si>
  <si>
    <t>Zona Muerta 2 Calor</t>
  </si>
  <si>
    <t>FullInv_Dif_C2</t>
  </si>
  <si>
    <t>Diferencial 2 Calor</t>
  </si>
  <si>
    <t>FullInv_ZM_F1</t>
  </si>
  <si>
    <t>FullInv_Dif_F1</t>
  </si>
  <si>
    <t>FullInv_ZM_F2</t>
  </si>
  <si>
    <t>FullInv_Dif_F2</t>
  </si>
  <si>
    <t>SP_PresVentilador</t>
  </si>
  <si>
    <t>Dif_PresVentilador</t>
  </si>
  <si>
    <t>DEM_CAUDAL_MIN_VENT</t>
  </si>
  <si>
    <t>DEM_CAUDAL_MAX_VENT</t>
  </si>
  <si>
    <t>DEM_CAUDAL_OFF_COMPRE</t>
  </si>
  <si>
    <t>DEM_CAUDAL_ON_COMPRE</t>
  </si>
  <si>
    <t>Dif_Demanda_Lim</t>
  </si>
  <si>
    <t>OffsetDemCaudal</t>
  </si>
  <si>
    <t>-870.0</t>
  </si>
  <si>
    <t>870.0</t>
  </si>
  <si>
    <t>-36.0</t>
  </si>
  <si>
    <t>36.0</t>
  </si>
  <si>
    <t>A1_S1_VALUE</t>
  </si>
  <si>
    <t>A2_S2_VALUE</t>
  </si>
  <si>
    <t>A3_S3_VALUE</t>
  </si>
  <si>
    <t>A4_S4_VALUE</t>
  </si>
  <si>
    <t>CONSIGNA_CALOR</t>
  </si>
  <si>
    <t>Set_Lim_Hum_Alta</t>
  </si>
  <si>
    <t>Dif_Lim_Hum</t>
  </si>
  <si>
    <t>DIFERENCIAL_LIMITE_SECAR</t>
  </si>
  <si>
    <t>CONSIGNA_LIMITE_SECAR</t>
  </si>
  <si>
    <t>DIF_COMP_MEZCLA</t>
  </si>
  <si>
    <t>HP_Al_Threshold</t>
  </si>
  <si>
    <t>HP_Al_Hysteresis</t>
  </si>
  <si>
    <t>LP_Al_Threshold</t>
  </si>
  <si>
    <t>LP_Al_Hysteresis</t>
  </si>
  <si>
    <t>CUT_OFF_DIF_COND_CIRC1</t>
  </si>
  <si>
    <t>MIN_SPEED_VENT_COND_CIRC1</t>
  </si>
  <si>
    <t>MAX_SPEED_VENT_COND_CIRC1</t>
  </si>
  <si>
    <t>Max_Ext_Damper</t>
  </si>
  <si>
    <t>Max_Mix_Damper</t>
  </si>
  <si>
    <t>Maximum opening for mixing damper</t>
  </si>
  <si>
    <t>Set_External_Hum_Inf</t>
  </si>
  <si>
    <t>Set_External_Hum_Sup</t>
  </si>
  <si>
    <t>Dif_External_Hum</t>
  </si>
  <si>
    <t>TEMP_MEZCLA_CONFORT_VER</t>
  </si>
  <si>
    <t>Configuration</t>
  </si>
  <si>
    <t>TEMP_MEZCLA_CONFORT_INV</t>
  </si>
  <si>
    <t>DIF_TEMP_MEZCLA_CONFORT</t>
  </si>
  <si>
    <t>CONS_T_MEZCLA_PROT</t>
  </si>
  <si>
    <t>Regulation of set point (middle point of neutral zone)</t>
  </si>
  <si>
    <t>DIF_TEMP_MEZCLA_PROT</t>
  </si>
  <si>
    <t>Regulation of differential in neutral zone</t>
  </si>
  <si>
    <t>Diff_Reg_Incr_TMix</t>
  </si>
  <si>
    <t>Diff_Reg_Decr_TMix</t>
  </si>
  <si>
    <t>CONSIGNA_INI_DESESCARC_DELTA</t>
  </si>
  <si>
    <t>TempSetP_Min_THTune_1</t>
  </si>
  <si>
    <t>TempSetP_Max_THTune_1</t>
  </si>
  <si>
    <t>A50_SH_SET_msk</t>
  </si>
  <si>
    <t>K/°C</t>
  </si>
  <si>
    <t>A56_LOW_SH_THRESHOLD_msk</t>
  </si>
  <si>
    <t>5.0</t>
  </si>
  <si>
    <t>°K/°F</t>
  </si>
  <si>
    <t>A52_LOP_THRESHOLD_msk</t>
  </si>
  <si>
    <t>A54_MOP_THRESHOLD_msk</t>
  </si>
  <si>
    <t>A83_SH_SET_2ND_msk</t>
  </si>
  <si>
    <t>A89_LOW_SH_THRESHOLD_2ND_msk</t>
  </si>
  <si>
    <t>A91_LOP_THRESHOLD_2ND_msk</t>
  </si>
  <si>
    <t>A93_MOP_THRESHOLD_2ND_msk</t>
  </si>
  <si>
    <t>800.0</t>
  </si>
  <si>
    <t>A48_PID_Kp_msk</t>
  </si>
  <si>
    <t>A49_PID_Td_msk</t>
  </si>
  <si>
    <t>s</t>
  </si>
  <si>
    <t>A87_PID_Kp_2ND_msk</t>
  </si>
  <si>
    <t>A88_PID_Td_2ND_msk</t>
  </si>
  <si>
    <t>A55_LOW_SH_Ti_msk</t>
  </si>
  <si>
    <t>A51_LOP_Ti_msk</t>
  </si>
  <si>
    <t>A53_MOP_Ti_msk</t>
  </si>
  <si>
    <t>A90_LOW_SH_Ti_2ND_msk</t>
  </si>
  <si>
    <t>A92_LOP_Ti_2ND_msk</t>
  </si>
  <si>
    <t>A94_MOP_Ti_2ND_msk</t>
  </si>
  <si>
    <t>A58_HITCOND_THRESHOLD_msk</t>
  </si>
  <si>
    <t>A57_HITCOND_Ti_msk</t>
  </si>
  <si>
    <t>SH_Set_CH</t>
  </si>
  <si>
    <t>Low_SH_Thrshd_CH</t>
  </si>
  <si>
    <t>LOP_Thrshd_CH</t>
  </si>
  <si>
    <t>-60.0</t>
  </si>
  <si>
    <t>MOP_Thrshd_CH</t>
  </si>
  <si>
    <t>SH_Set_HP</t>
  </si>
  <si>
    <t>Low_SH_Thrshd_HP</t>
  </si>
  <si>
    <t>LOP_Thrshd_HP</t>
  </si>
  <si>
    <t>MOP_Thrshd_HP</t>
  </si>
  <si>
    <t>SH_Set_DF</t>
  </si>
  <si>
    <t>Low_SH_Thrshd_DF</t>
  </si>
  <si>
    <t>LOP_Thrshd_DF</t>
  </si>
  <si>
    <t>MOP_Thrshd_DF</t>
  </si>
  <si>
    <t>steps</t>
  </si>
  <si>
    <t>Serial_Temp_1</t>
  </si>
  <si>
    <t>Temperatura serial 1</t>
  </si>
  <si>
    <t>Serial probe</t>
  </si>
  <si>
    <t>Serial_Humid_1</t>
  </si>
  <si>
    <t>%rH</t>
  </si>
  <si>
    <t>Serial_Temp_2</t>
  </si>
  <si>
    <t>Temperatura serial 2</t>
  </si>
  <si>
    <t>Serial_Humid_2</t>
  </si>
  <si>
    <t>Serial_Temp_3</t>
  </si>
  <si>
    <t>Temperatura serial 3</t>
  </si>
  <si>
    <t>Serial_Humid_3</t>
  </si>
  <si>
    <t>Serial_Temp_4</t>
  </si>
  <si>
    <t>Temperatura serial 4</t>
  </si>
  <si>
    <t>Serial_Humid_4</t>
  </si>
  <si>
    <t>Serial_Temp_5</t>
  </si>
  <si>
    <t>Temperatura serial 5</t>
  </si>
  <si>
    <t>Serial_Humid_5</t>
  </si>
  <si>
    <t>Serial_Temp_6</t>
  </si>
  <si>
    <t>Temperatura serial 6</t>
  </si>
  <si>
    <t>Serial_Humid_6</t>
  </si>
  <si>
    <t>Req_Air_Quality</t>
  </si>
  <si>
    <t>Air quality demand</t>
  </si>
  <si>
    <t>Displayed_Temperature_msk</t>
  </si>
  <si>
    <t>Displayed_Humidity_msk</t>
  </si>
  <si>
    <t>Humidity to show on the THTune display</t>
  </si>
  <si>
    <t>Temp_THTune_1</t>
  </si>
  <si>
    <t>Temperature measured by the device probe</t>
  </si>
  <si>
    <t>A105_DISCHARGE_TEMP_msk</t>
  </si>
  <si>
    <t>A101_DISCHARGE_TEMP_SET_msk</t>
  </si>
  <si>
    <t>PwrOut_EBM_Imp</t>
  </si>
  <si>
    <t>Current power in [W] for Ebmpapst fan</t>
  </si>
  <si>
    <t>PwrOut_EBM_Ret</t>
  </si>
  <si>
    <t>ElectronicTemp_IR23</t>
  </si>
  <si>
    <t>Inside electronic ambient temperature</t>
  </si>
  <si>
    <t>A12_HITCOND_COND_TEMP</t>
  </si>
  <si>
    <t>Apparent_Power_H_SPV</t>
  </si>
  <si>
    <t>Direction</t>
  </si>
  <si>
    <t>Number of working compressors</t>
  </si>
  <si>
    <t>Nominal Flow H cooling supply fan</t>
  </si>
  <si>
    <t>Nominal Flow H heating supply fan</t>
  </si>
  <si>
    <t>Nominal flow L cooling supply fan</t>
  </si>
  <si>
    <t>Nominal flow L heating supply fan</t>
  </si>
  <si>
    <t>Nominal Flow H cooling return fan</t>
  </si>
  <si>
    <t>Nominal Flow H heating return fan</t>
  </si>
  <si>
    <t>Nominal flow L cooling return fan</t>
  </si>
  <si>
    <t>Nominal flow L heating return fan</t>
  </si>
  <si>
    <t>I4_EEV_POSITION_STEPS_msk</t>
  </si>
  <si>
    <t>I8_REG_STATUS_msk</t>
  </si>
  <si>
    <t>I49_EEV_POSITION_STEPS_2ND_msk</t>
  </si>
  <si>
    <t>I51_REG_STATUS_2ND_msk</t>
  </si>
  <si>
    <t>Day of week calculation based on current date (0: ---; 1: Monday; 2: Tuesday; 3: Wedensday; 4: Thursday; 5: Friday; 6: Saturday; 7: Sunday)</t>
  </si>
  <si>
    <t>New day</t>
  </si>
  <si>
    <t>New month</t>
  </si>
  <si>
    <t>New year</t>
  </si>
  <si>
    <t>New hour</t>
  </si>
  <si>
    <t>New minute</t>
  </si>
  <si>
    <t>Period 3 cool set type</t>
  </si>
  <si>
    <t>Freecooling and freeheating mode</t>
  </si>
  <si>
    <t>Defines the humidity setpoint value</t>
  </si>
  <si>
    <t>I8_REG_STATUS</t>
  </si>
  <si>
    <t>I49_EEV_POSITION_STEPS_2ND</t>
  </si>
  <si>
    <t>I51_REG_STATUS_2ND</t>
  </si>
  <si>
    <t>Number of circuit in the unit</t>
  </si>
  <si>
    <t>Speed input in [rpm/%/V] according to the control mode for Ebmpapst fan</t>
  </si>
  <si>
    <t>Current hour</t>
  </si>
  <si>
    <t>Current minute</t>
  </si>
  <si>
    <t>DST_Minute</t>
  </si>
  <si>
    <t>* 0001, Transition time</t>
  </si>
  <si>
    <t>Srt_DST_MonthW</t>
  </si>
  <si>
    <t>* 0002, Start weekly in one month</t>
  </si>
  <si>
    <t>Srt_DST_Week</t>
  </si>
  <si>
    <t>* 0003, Start day in one week</t>
  </si>
  <si>
    <t>Srt_DST_Month</t>
  </si>
  <si>
    <t>* 0004, Start month</t>
  </si>
  <si>
    <t>Srt_DST_Hour</t>
  </si>
  <si>
    <t>* 0005, Start hour</t>
  </si>
  <si>
    <t>End_DST_MonthW</t>
  </si>
  <si>
    <t>* 0006, End weekly in one month</t>
  </si>
  <si>
    <t>End_DST_Week</t>
  </si>
  <si>
    <t>* 0007, End day in one week</t>
  </si>
  <si>
    <t>End_DST_Month</t>
  </si>
  <si>
    <t>* 0008, End month</t>
  </si>
  <si>
    <t>End_DST_Hour</t>
  </si>
  <si>
    <t>* 0009, End hour</t>
  </si>
  <si>
    <t>CO2 regulation setpoint</t>
  </si>
  <si>
    <t>CO2 regulation differential</t>
  </si>
  <si>
    <t>VOC regulation setpoint</t>
  </si>
  <si>
    <t>VOC regulation differential</t>
  </si>
  <si>
    <t>P1_Start_Day</t>
  </si>
  <si>
    <t>Period 1 start day</t>
  </si>
  <si>
    <t>rpm</t>
  </si>
  <si>
    <t>Internal circuit temperature for Ebmpapst fan</t>
  </si>
  <si>
    <t>P1_Start_Month</t>
  </si>
  <si>
    <t>Period 1 start month</t>
  </si>
  <si>
    <t>P1_Stop_Day</t>
  </si>
  <si>
    <t>Period 1 stop day</t>
  </si>
  <si>
    <t>P1_Stop_Month</t>
  </si>
  <si>
    <t>Period 1 stop month</t>
  </si>
  <si>
    <t>P1_Set_Cool</t>
  </si>
  <si>
    <t>Period 1 cool set type</t>
  </si>
  <si>
    <t>P1_Set_Heat</t>
  </si>
  <si>
    <t>Period 1 heating setting</t>
  </si>
  <si>
    <t>P1_Start_Days_Num</t>
  </si>
  <si>
    <t>Max number of days for P1_Start_Month</t>
  </si>
  <si>
    <t>P1_Stop_Days_Num</t>
  </si>
  <si>
    <t>Max number of days for P1_Stop_Month</t>
  </si>
  <si>
    <t>P2_Start_Day</t>
  </si>
  <si>
    <t>Period 2 start day</t>
  </si>
  <si>
    <t>P2_Start_Month</t>
  </si>
  <si>
    <t>Period 2 start month</t>
  </si>
  <si>
    <t>P2_Stop_Day</t>
  </si>
  <si>
    <t>Period 2 stop day</t>
  </si>
  <si>
    <t>P2_Stop_Month</t>
  </si>
  <si>
    <t>P2_Set_Cool</t>
  </si>
  <si>
    <t>Period 2 cool set type</t>
  </si>
  <si>
    <t>P2_Set_Heat</t>
  </si>
  <si>
    <t>Period 2 heating setting</t>
  </si>
  <si>
    <t>P2_Stop_Days_Num</t>
  </si>
  <si>
    <t>Max number of days for P2_Stop_Month</t>
  </si>
  <si>
    <t>P2_Start_Days_Num</t>
  </si>
  <si>
    <t>Max number of days for P2_Start_Month</t>
  </si>
  <si>
    <t>P3_Start_Day</t>
  </si>
  <si>
    <t>Period 3 start day</t>
  </si>
  <si>
    <t>P3_Start_Month</t>
  </si>
  <si>
    <t>Period 3 start month</t>
  </si>
  <si>
    <t>P3_Stop_Day</t>
  </si>
  <si>
    <t>Period 3 stop day</t>
  </si>
  <si>
    <t>P3_Stop_Month</t>
  </si>
  <si>
    <t>Period 3 stop month</t>
  </si>
  <si>
    <t>P3_Set_Heat</t>
  </si>
  <si>
    <t>Period 3 heating setting</t>
  </si>
  <si>
    <t>P3_Start_Days_Num</t>
  </si>
  <si>
    <t>Max number of days for P3_Start_Month</t>
  </si>
  <si>
    <t>P3_Stop_Days_Num</t>
  </si>
  <si>
    <t>Max number of days for P3_Stop_Month</t>
  </si>
  <si>
    <t>SD1_Day</t>
  </si>
  <si>
    <t>Special day 1 day</t>
  </si>
  <si>
    <t>SD1_Month</t>
  </si>
  <si>
    <t>Special day 1 month</t>
  </si>
  <si>
    <t>SD1_Set_Cool</t>
  </si>
  <si>
    <t>Special day 1 cool type</t>
  </si>
  <si>
    <t>SD1_Set_Heat</t>
  </si>
  <si>
    <t>Special day 1 heating setting</t>
  </si>
  <si>
    <t>SD1_Num</t>
  </si>
  <si>
    <t>Max number of days for SD1_Month</t>
  </si>
  <si>
    <t>SD2_Day</t>
  </si>
  <si>
    <t>Special day 2 day</t>
  </si>
  <si>
    <t>SD2_Month</t>
  </si>
  <si>
    <t>Special day 2 month</t>
  </si>
  <si>
    <t>SD2_Set_Cool</t>
  </si>
  <si>
    <t>Special day 2 cool set type</t>
  </si>
  <si>
    <t>SD2_Set_Heat</t>
  </si>
  <si>
    <t>Special day 2 heating setting</t>
  </si>
  <si>
    <t>SD2_Num</t>
  </si>
  <si>
    <t>Max number of days for SD2_Month</t>
  </si>
  <si>
    <t>SD3_Day</t>
  </si>
  <si>
    <t>Special day 3 day</t>
  </si>
  <si>
    <t>SD3_Month</t>
  </si>
  <si>
    <t>Special day 3 month</t>
  </si>
  <si>
    <t>SD3_Set_Cool</t>
  </si>
  <si>
    <t>Special day 3 cool set type</t>
  </si>
  <si>
    <t>SD3_Set_Heat</t>
  </si>
  <si>
    <t>Special day 3 heating setting</t>
  </si>
  <si>
    <t>SD3_Num</t>
  </si>
  <si>
    <t>Max number of days for SD3_Month</t>
  </si>
  <si>
    <t>SD4_Day</t>
  </si>
  <si>
    <t>Special day 4 day</t>
  </si>
  <si>
    <t>SD4_Month</t>
  </si>
  <si>
    <t>Special day 4 month</t>
  </si>
  <si>
    <t>SD4_Num</t>
  </si>
  <si>
    <t>Max number of days for SD4_Month</t>
  </si>
  <si>
    <t>SD4_Set_Cool</t>
  </si>
  <si>
    <t>Special day 4 cool set type</t>
  </si>
  <si>
    <t>SD4_Set_Heat</t>
  </si>
  <si>
    <t>Special day 4 heating setting</t>
  </si>
  <si>
    <t>SD5_Day</t>
  </si>
  <si>
    <t>Special day 5 day</t>
  </si>
  <si>
    <t>SD5_Month</t>
  </si>
  <si>
    <t>Special day 5 month</t>
  </si>
  <si>
    <t>SD5_Num</t>
  </si>
  <si>
    <t>Max number of days for SD5_Month</t>
  </si>
  <si>
    <t>SD5_Set_Cool</t>
  </si>
  <si>
    <t>Special day 5 cool set type</t>
  </si>
  <si>
    <t>SD5_Set_Heat</t>
  </si>
  <si>
    <t>Special day 5 heating setting</t>
  </si>
  <si>
    <t>SD6_Day</t>
  </si>
  <si>
    <t>Special day 6 day</t>
  </si>
  <si>
    <t>SD6_Month</t>
  </si>
  <si>
    <t>Special day 6 month</t>
  </si>
  <si>
    <t>SD6_Num</t>
  </si>
  <si>
    <t>Max number of days for SD6_Month</t>
  </si>
  <si>
    <t>SD6_Set_Cool</t>
  </si>
  <si>
    <t>Special day 6 cool set type</t>
  </si>
  <si>
    <t>SD6_Set_Heat</t>
  </si>
  <si>
    <t>Special day 6 heating setting</t>
  </si>
  <si>
    <t>Sensor_NIC_Imp</t>
  </si>
  <si>
    <t>Sensor_NIC_Ret</t>
  </si>
  <si>
    <t>Set_Airflow_Screen</t>
  </si>
  <si>
    <t>CurrSpeed_rpm</t>
  </si>
  <si>
    <t>Actual speed [rpm] of the fan</t>
  </si>
  <si>
    <t>Voltage_L1_L2_L_SPV</t>
  </si>
  <si>
    <t>V</t>
  </si>
  <si>
    <t>Voltage_L2_L3_L_SPV</t>
  </si>
  <si>
    <t>Voltage_L3_L1_L_SPV</t>
  </si>
  <si>
    <t>Voltage_Average</t>
  </si>
  <si>
    <t>Voltage_L_L_SPV</t>
  </si>
  <si>
    <t>Voltage_1_L_SPV</t>
  </si>
  <si>
    <t>Voltage_2_L_SPV</t>
  </si>
  <si>
    <t>Voltage_3_L_SPV</t>
  </si>
  <si>
    <t>Voltage_L_N_SPV</t>
  </si>
  <si>
    <t>IniReqChange</t>
  </si>
  <si>
    <t>F_MIN_PGD</t>
  </si>
  <si>
    <t>Diff_Reg_NZ</t>
  </si>
  <si>
    <t>Diff_Reg_Incr</t>
  </si>
  <si>
    <t>Diff_Reg_Decr</t>
  </si>
  <si>
    <t>Min_RPM</t>
  </si>
  <si>
    <t>Max_RPM</t>
  </si>
  <si>
    <t>HORAS_C33</t>
  </si>
  <si>
    <t>Horas compresor 3 C3</t>
  </si>
  <si>
    <t>ARRANQUES_C33</t>
  </si>
  <si>
    <t>Arranques compresor 3 C3</t>
  </si>
  <si>
    <t>Int_Time_Temp</t>
  </si>
  <si>
    <t>Der_Time_Temp</t>
  </si>
  <si>
    <t>Tiempo Derivación Regulación Temperatura</t>
  </si>
  <si>
    <t>Int_Time_Hum</t>
  </si>
  <si>
    <t>Der_Time_Hum</t>
  </si>
  <si>
    <t>T_MAX_VEL_COND_CIRC1</t>
  </si>
  <si>
    <t>HumSetP_Min_THTune_1</t>
  </si>
  <si>
    <t>Lower limit of the humidity setpoint value</t>
  </si>
  <si>
    <t>HumSetP_Max_THTune_1</t>
  </si>
  <si>
    <t>Upper limit of the humidity setpoint value</t>
  </si>
  <si>
    <t>MAX_DEMAND</t>
  </si>
  <si>
    <t>MIN_DEMAND</t>
  </si>
  <si>
    <t>Start_EEV_Open_Ratio_CH</t>
  </si>
  <si>
    <t>Start_EEV_Open_Ratio_HP</t>
  </si>
  <si>
    <t>Start_EEV_Open_Ratio_DF</t>
  </si>
  <si>
    <t>Startup valve opening % (capacity ratio EVAP / EEV) - Defrost mode</t>
  </si>
  <si>
    <t>Time_Remaining_Cleaning</t>
  </si>
  <si>
    <t>min</t>
  </si>
  <si>
    <t>Hum_THTune_1</t>
  </si>
  <si>
    <t>I50_SH_UNIT_POWER_PERC_2ND_msk</t>
  </si>
  <si>
    <t>CurrSpeed_EBM_Imp</t>
  </si>
  <si>
    <t>Current speed in [rpm] of the fan for Ebmpapst fan</t>
  </si>
  <si>
    <t>AmpOut_EBM_Imp</t>
  </si>
  <si>
    <t>DC link amperage in [A] for Ebmpapst fan</t>
  </si>
  <si>
    <t>Vout_EBM_Imp</t>
  </si>
  <si>
    <t>DC link voltage for Ebmpapst fan</t>
  </si>
  <si>
    <t>ElectrTemp_EBM_Imp</t>
  </si>
  <si>
    <t>CurrSpeed_EBM_Ret</t>
  </si>
  <si>
    <t>AmpOut_EBM_Ret</t>
  </si>
  <si>
    <t>Vout_EBM_Ret</t>
  </si>
  <si>
    <t>PresionRetorno</t>
  </si>
  <si>
    <t>SpeedReq_tmp</t>
  </si>
  <si>
    <t>Required Speed in [ 0 - 100.0%] or [rps] according to Speed Control mode for ZiehlAbegg fan</t>
  </si>
  <si>
    <t>CurrSpeed_Ret_ZA</t>
  </si>
  <si>
    <t>Actual speed [rpm] of the Zhiel-Abegg fan</t>
  </si>
  <si>
    <t>PwrConsumption_IR33</t>
  </si>
  <si>
    <t>MotA_H</t>
  </si>
  <si>
    <t>MotA_L</t>
  </si>
  <si>
    <t>WorkStatusCode_Ret_ZA</t>
  </si>
  <si>
    <t>PwrConsumption</t>
  </si>
  <si>
    <t>MotAmper</t>
  </si>
  <si>
    <t>CurrSpeed_EBM_1</t>
  </si>
  <si>
    <t>PwrOut_EBM_1</t>
  </si>
  <si>
    <t>AmpOut_EBM_1</t>
  </si>
  <si>
    <t>Vout_EBM_1</t>
  </si>
  <si>
    <t>ElectrTemp_EBM_1</t>
  </si>
  <si>
    <t>WarningCode_EBM_1</t>
  </si>
  <si>
    <t>Warning code for Ebmpaps fan</t>
  </si>
  <si>
    <t>CurrSpeed_EBM_2</t>
  </si>
  <si>
    <t>PwrOut_EBM_2</t>
  </si>
  <si>
    <t>AmpOut_EBM_2</t>
  </si>
  <si>
    <t>Vout_EBM_2</t>
  </si>
  <si>
    <t>ElectrTemp_EBM_2</t>
  </si>
  <si>
    <t>WarningCode_EBM_2</t>
  </si>
  <si>
    <t>AlrmCode_EBM_2</t>
  </si>
  <si>
    <t>AlrmCode_EBM_1</t>
  </si>
  <si>
    <t>CurrSpeed_EBM_3</t>
  </si>
  <si>
    <t>PwrOut_EBM_3</t>
  </si>
  <si>
    <t>AmpOut_EBM_3</t>
  </si>
  <si>
    <t>Vout_EBM_3</t>
  </si>
  <si>
    <t>ElectrTemp_EBM_3</t>
  </si>
  <si>
    <t>WarningCode_EBM_3</t>
  </si>
  <si>
    <t>AlrmCode_EBM_3</t>
  </si>
  <si>
    <t>Global (general) alarm</t>
  </si>
  <si>
    <t>Alarms reset by Modbus supervisor</t>
  </si>
  <si>
    <t>Status of the supervisory system (1=supervisory system online)</t>
  </si>
  <si>
    <t>Supply fan status</t>
  </si>
  <si>
    <t>Anti-freeze coil alarm</t>
  </si>
  <si>
    <t>Freecooling active</t>
  </si>
  <si>
    <t>Freeheating active</t>
  </si>
  <si>
    <t>Comp1_Circ1</t>
  </si>
  <si>
    <t>Compressor1 circuit1 (0: Off; 1: On)</t>
  </si>
  <si>
    <t>Comp2_Circ1</t>
  </si>
  <si>
    <t>Compressor2 circuit1 (0: Off; 1: On)</t>
  </si>
  <si>
    <t>Comp3_Circ1</t>
  </si>
  <si>
    <t>Compressor3 circuit1 (0: Off; 1: On)</t>
  </si>
  <si>
    <t>Enable all the fields for day scheduler 1</t>
  </si>
  <si>
    <t>Enable all the fields for day scheduler 2</t>
  </si>
  <si>
    <t>Status of the Boolean input (0: contact closed, 1: contact open)</t>
  </si>
  <si>
    <t>Air flow supply lack</t>
  </si>
  <si>
    <t>Comp3_Circ2</t>
  </si>
  <si>
    <t>Compressor3 circuit2 (0: Off; 1: On)</t>
  </si>
  <si>
    <t>Comp2_Circ2</t>
  </si>
  <si>
    <t>Compressor2 circuit2 (0: Off; 1: On)</t>
  </si>
  <si>
    <t>Air flow return lack</t>
  </si>
  <si>
    <t>Comp1_Circ2</t>
  </si>
  <si>
    <t>Compressor1 circuit2 (0: Off; 1: On)</t>
  </si>
  <si>
    <t>Comp1_Circ3</t>
  </si>
  <si>
    <t>Compressor1 circuit3 (0: Off; 1: On)</t>
  </si>
  <si>
    <t>Comp2_Circ3</t>
  </si>
  <si>
    <t>Compressor2 circuit3 (0: Off; 1: On)</t>
  </si>
  <si>
    <t>Comp3_Circ3</t>
  </si>
  <si>
    <t>Compressor3 circuit3 (0: Off; 1: On)</t>
  </si>
  <si>
    <t>Comp1_Circ4</t>
  </si>
  <si>
    <t>Compressor1 circuit4 (0: Off; 1: On)</t>
  </si>
  <si>
    <t>Comp2_Circ4</t>
  </si>
  <si>
    <t>Compressor2 circuit4 (0: Off; 1: On)</t>
  </si>
  <si>
    <t>Comp3_Circ4</t>
  </si>
  <si>
    <t>Compressor3 circuit4 (0: Off; 1: On)</t>
  </si>
  <si>
    <t>SET_DAY</t>
  </si>
  <si>
    <t>Request to copy NEW_DAY into DAY</t>
  </si>
  <si>
    <t>SET_HOUR</t>
  </si>
  <si>
    <t>Request to copy NEW_HOUR into HOUR</t>
  </si>
  <si>
    <t>SET_MINUTE</t>
  </si>
  <si>
    <t>Request to copy NEW_MINUTE into MINUTE</t>
  </si>
  <si>
    <t>SET_MONTH</t>
  </si>
  <si>
    <t>Request to copy NEW_MONTH into MONTH</t>
  </si>
  <si>
    <t>SET_WEEKDAY</t>
  </si>
  <si>
    <t>Request to copy NEW_WEEKDAY into WEEKDAY</t>
  </si>
  <si>
    <t>SET_YEAR</t>
  </si>
  <si>
    <t>Request to copy NEW_YEAR into YEAR</t>
  </si>
  <si>
    <t>En_DST</t>
  </si>
  <si>
    <t>Online_Imp_NIC</t>
  </si>
  <si>
    <t>Al_Offline_NIC_Imp</t>
  </si>
  <si>
    <t>Online_Ret_NIC</t>
  </si>
  <si>
    <t>Al_Present_NIC_Imp</t>
  </si>
  <si>
    <t>En_Superv_OnOff</t>
  </si>
  <si>
    <t>PRIORIDAD_PM_REMOTO</t>
  </si>
  <si>
    <t>Prioridad Paro/Marcha remoto</t>
  </si>
  <si>
    <t>PRIORIDAD_SUPERVISION</t>
  </si>
  <si>
    <t>Prioridad Paro/Marcha supervisión</t>
  </si>
  <si>
    <t>EST_DESESCARCHE_CIRC1</t>
  </si>
  <si>
    <t>Estado desescarche circuito 1</t>
  </si>
  <si>
    <t>EST_DESESCARCHE_CIRC2</t>
  </si>
  <si>
    <t>Estado desescarche circuito 2</t>
  </si>
  <si>
    <t>EST_DESESCARCHE_CIRC_REC</t>
  </si>
  <si>
    <t>Estado desescarche circuito recuperación</t>
  </si>
  <si>
    <t>INV_VER_PANTALLA</t>
  </si>
  <si>
    <t>Estado Invierno/Verano</t>
  </si>
  <si>
    <t>EST_DESESCARCHE_CIRC3</t>
  </si>
  <si>
    <t>Estado desescarche circuito 3</t>
  </si>
  <si>
    <t>Prior_Confort</t>
  </si>
  <si>
    <t>Antepone conservar la temperatura a bajar el CO2</t>
  </si>
  <si>
    <t>mAl_Probe01</t>
  </si>
  <si>
    <t>mAl_Probe02</t>
  </si>
  <si>
    <t>mAl_Probe03</t>
  </si>
  <si>
    <t>mAl_Probe04</t>
  </si>
  <si>
    <t>mAl_Probe05</t>
  </si>
  <si>
    <t>mAl_Probe05_T</t>
  </si>
  <si>
    <t>mAl_Probe06</t>
  </si>
  <si>
    <t>mAl_Probe07</t>
  </si>
  <si>
    <t>mAl_Probe08</t>
  </si>
  <si>
    <t>mAl_Probe09</t>
  </si>
  <si>
    <t>mAl_Probe10</t>
  </si>
  <si>
    <t>CO2</t>
  </si>
  <si>
    <t>mAl_Probe11</t>
  </si>
  <si>
    <t>VOC</t>
  </si>
  <si>
    <t>mAl_Probe12</t>
  </si>
  <si>
    <t>Warning_LP_Pressostat</t>
  </si>
  <si>
    <t>LP warning status by pressostat</t>
  </si>
  <si>
    <t>Warning_LP_Transducer</t>
  </si>
  <si>
    <t>LP warning status by transducer</t>
  </si>
  <si>
    <t>mAL_TERM_VENT_INTERIOR</t>
  </si>
  <si>
    <t>mAL_DESESCAR_X_TIEMPO</t>
  </si>
  <si>
    <t>Alarma finaliza desescarche por tiempo</t>
  </si>
  <si>
    <t>mAl_Temperature_Probe</t>
  </si>
  <si>
    <t>mAl_Humidity_Probe</t>
  </si>
  <si>
    <t>Alarm on the THTune humidity probe</t>
  </si>
  <si>
    <t>mAl_Clock_Board</t>
  </si>
  <si>
    <t>Alarm on the THTune clock board</t>
  </si>
  <si>
    <t>mAlarm_Grave_HP_Pressostat</t>
  </si>
  <si>
    <t>HP by pressostat work in manual reset mode</t>
  </si>
  <si>
    <t>mAlarm_Grave_HP_Transducer</t>
  </si>
  <si>
    <t>HP by transducer work in manual reset mode</t>
  </si>
  <si>
    <t>Warning_Estado</t>
  </si>
  <si>
    <t>mAl_Intensida_Maxima</t>
  </si>
  <si>
    <t>mAl_Potencia_Maxima</t>
  </si>
  <si>
    <t>mWarningPresent_EBM</t>
  </si>
  <si>
    <t>mAlrm_Caudal_Int</t>
  </si>
  <si>
    <t>mAlrm_Caudal_Ret</t>
  </si>
  <si>
    <t>mID_AL_ANTIFREEZE_COIL</t>
  </si>
  <si>
    <t>mID_AL_RECUP_ROT</t>
  </si>
  <si>
    <t>AL_COM_GLOBAL</t>
  </si>
  <si>
    <t>mFuga_C1</t>
  </si>
  <si>
    <t>mFuga_C2</t>
  </si>
  <si>
    <t>mFuga_C3</t>
  </si>
  <si>
    <t>mFuga_CR</t>
  </si>
  <si>
    <t>mAlarma_V_Retorno</t>
  </si>
  <si>
    <t>mAl_Offline_EBM</t>
  </si>
  <si>
    <t>Offline alarm memory for Ebmpapst fan</t>
  </si>
  <si>
    <t>mAl_Seriales</t>
  </si>
  <si>
    <t>mID_EMERGENCIA</t>
  </si>
  <si>
    <t>Paro de emergencia</t>
  </si>
  <si>
    <t>mID_AL_HUMIDIFICADOR</t>
  </si>
  <si>
    <t>Alarma humidificador</t>
  </si>
  <si>
    <t>mID_AL_QUEMA_RESIST</t>
  </si>
  <si>
    <t>mAl_Offline_cpCOe</t>
  </si>
  <si>
    <t>Offline alarm - cpCOe</t>
  </si>
  <si>
    <t>mAl_CfgErr</t>
  </si>
  <si>
    <t>mAl_P_DIF_IMP_RET</t>
  </si>
  <si>
    <t>HP_Prevent_Cric1</t>
  </si>
  <si>
    <t>High pressure prevent warning</t>
  </si>
  <si>
    <t>LP_Prevent_Circ1</t>
  </si>
  <si>
    <t>Low pressure prevent warning</t>
  </si>
  <si>
    <t>Disc_Low_Prevent_Circ1</t>
  </si>
  <si>
    <t>Circuit 1 Warning Discharge low prevent</t>
  </si>
  <si>
    <t>Disc_High_Prevent_Circ1</t>
  </si>
  <si>
    <t>Circuit 1 Warning Discharge high prevent</t>
  </si>
  <si>
    <t>mDisc_High_Alarm_Circ1</t>
  </si>
  <si>
    <t>mDisc_High_Alarm_Circ2</t>
  </si>
  <si>
    <t>mDisc_High_Alarm_Circ3</t>
  </si>
  <si>
    <t>mDisc_High_Alarm_CircR</t>
  </si>
  <si>
    <t>HP_Prevent_Cric2</t>
  </si>
  <si>
    <t>LP_Prevent_Circ2</t>
  </si>
  <si>
    <t>Disc_Low_Prevent_Circ2</t>
  </si>
  <si>
    <t>Circuit 2 Warning Discharge low prevent</t>
  </si>
  <si>
    <t>Disc_High_Prevent_Circ2</t>
  </si>
  <si>
    <t>Circuit 2 Warning Discharge high prevent</t>
  </si>
  <si>
    <t>HP_Prevent_Cric3</t>
  </si>
  <si>
    <t>LP_Prevent_Circ3</t>
  </si>
  <si>
    <t>Disc_Low_Prevent_Circ3</t>
  </si>
  <si>
    <t>Circuit 3 Warning Discharge low prevent</t>
  </si>
  <si>
    <t>Disc_High_Prevent_Circ3</t>
  </si>
  <si>
    <t>Circuit 3 Warning Discharge high prevent</t>
  </si>
  <si>
    <t>EVD offline alarm</t>
  </si>
  <si>
    <t>Configuration_Error</t>
  </si>
  <si>
    <t>FW_Compatibility_Error</t>
  </si>
  <si>
    <t>The fw in the EVDEVO connected is not compatible with the module</t>
  </si>
  <si>
    <t>OR_LOW_SH_ALARM</t>
  </si>
  <si>
    <t>mAL_D12_LOW_SH_ALARM</t>
  </si>
  <si>
    <t>mAL_D26_LOW_SH_ALARM_2ND</t>
  </si>
  <si>
    <t>OR_LOP_ALARM</t>
  </si>
  <si>
    <t>mAL_D10_LOP_ALARM</t>
  </si>
  <si>
    <t>mAL_D27_LOP_ALARM_2ND</t>
  </si>
  <si>
    <t>OR_MOP_ALARM</t>
  </si>
  <si>
    <t>mAL_D11_MOP_ALARM</t>
  </si>
  <si>
    <t>mAL_D28_MOP_ALARM_2ND</t>
  </si>
  <si>
    <t>msk_D13_HITCOND_ALARM</t>
  </si>
  <si>
    <t>OR_LOW_SUCT_ALARM</t>
  </si>
  <si>
    <t>mAL_D1_LOW_SUCT_ALARM</t>
  </si>
  <si>
    <t>mAL_D29_LOW_SUCT_ALARM_2ND</t>
  </si>
  <si>
    <t>mAL_D40_EVOTUNES_ALARM</t>
  </si>
  <si>
    <t>mAL_D42_EVOTUNES_ALARM_2ND</t>
  </si>
  <si>
    <t>Al_Present_ZA_Imp</t>
  </si>
  <si>
    <t>Al_Present2_Imp_ZA</t>
  </si>
  <si>
    <t>Al_Present_ZA_Ret</t>
  </si>
  <si>
    <t>Al_Present2_Ret_ZA</t>
  </si>
  <si>
    <t>mAl_Offline_ZA</t>
  </si>
  <si>
    <t>Offline alarm - Ziehl-Abegg fan</t>
  </si>
  <si>
    <t>mAl_Present_ZA</t>
  </si>
  <si>
    <t>BACNET Address</t>
  </si>
  <si>
    <t>uPC Address</t>
  </si>
  <si>
    <t>MODBUS Address</t>
  </si>
  <si>
    <t>Descripción ES</t>
  </si>
  <si>
    <t>Description EN</t>
  </si>
  <si>
    <t>DIGITAL VARIABLES (Coil-Bit Type)</t>
  </si>
  <si>
    <t>VOC level</t>
  </si>
  <si>
    <t>BombaCalor_o_Heating</t>
  </si>
  <si>
    <t>BombaCalor_o_Cooling</t>
  </si>
  <si>
    <t>Estado Invierno / Verano</t>
  </si>
  <si>
    <t>Cooling / Heating Status</t>
  </si>
  <si>
    <t>Calidad Aire VOC</t>
  </si>
  <si>
    <t>Mínimo Consigna Frío</t>
  </si>
  <si>
    <t>Mínimo Consigna Calor</t>
  </si>
  <si>
    <t>Diferencial Entalpía Compuertas</t>
  </si>
  <si>
    <t>Temperatura Post-Batería</t>
  </si>
  <si>
    <t>Máximo Consigna Frío</t>
  </si>
  <si>
    <t>Máximo Consigna Calor</t>
  </si>
  <si>
    <t>Temperatura Evaporación Válvula A</t>
  </si>
  <si>
    <t>Entalpía Retorno</t>
  </si>
  <si>
    <t>Porcentaje Apertura Válvula Circuito 1</t>
  </si>
  <si>
    <t>Apertura Mínima Compuerta Mezcla</t>
  </si>
  <si>
    <t>Reducido por Alta Presión Condensación</t>
  </si>
  <si>
    <t>Consigna Inicio Desescarche por Presión</t>
  </si>
  <si>
    <t>Consigna Inicio Forzado Desescarche por Presión</t>
  </si>
  <si>
    <t>Consigna Fin Desescarche por Presión</t>
  </si>
  <si>
    <t>Consigna Temperatura desde TH-Tune</t>
  </si>
  <si>
    <t>Porcentaje Apertura VEE Circuito 1</t>
  </si>
  <si>
    <t>Temperatura Aspiracion VEE Circuito 1</t>
  </si>
  <si>
    <t>Presion Evaporador VEE Circuito 1</t>
  </si>
  <si>
    <t>Temperatura Equivalente Evaporacion VEE Circuito 1</t>
  </si>
  <si>
    <t>Porcentaje Apertura VEE Circuito 2</t>
  </si>
  <si>
    <t>Temperatura Aspiracion VEE Circuito 2</t>
  </si>
  <si>
    <t>Presion Evaporador VEE Circuito 2</t>
  </si>
  <si>
    <t>Temperatura Equivalente Evaporacion VEE Circuito 2</t>
  </si>
  <si>
    <t>Valor Control Humidificador</t>
  </si>
  <si>
    <t>Presión Evaporación Circuito Recuperación</t>
  </si>
  <si>
    <t>Entalpía Impulsión</t>
  </si>
  <si>
    <t>Zona Muerta 1 Frío</t>
  </si>
  <si>
    <t>Diferencial 1 Frío</t>
  </si>
  <si>
    <t>Zona Muerta 2 Frío</t>
  </si>
  <si>
    <t>Diferencial 2 Frío</t>
  </si>
  <si>
    <t>Diferencial Compuerta Mezcla</t>
  </si>
  <si>
    <t>Consigna 	Alarma Presión en Alta</t>
  </si>
  <si>
    <t>Diferencial Alarma Presión en Alta</t>
  </si>
  <si>
    <t>Consigna 	Alarma Presión en Baja</t>
  </si>
  <si>
    <t>Diferencial Alarma Presión en Baja</t>
  </si>
  <si>
    <t>Máxima Apertura Compuerta Exterior</t>
  </si>
  <si>
    <t>Máxima Apertura Compuerta Mezcla</t>
  </si>
  <si>
    <t>Consigna Temperatura Mezcla Renovación Compuertas Zona Neutra</t>
  </si>
  <si>
    <t>Diferencial Temperatura Mezcla Renovación Compuertas Zona Neutra</t>
  </si>
  <si>
    <t>Consigna Inicio Desescarche</t>
  </si>
  <si>
    <t>Humedad serial 1</t>
  </si>
  <si>
    <t>Humedad serial 3</t>
  </si>
  <si>
    <t>Humedad serial 4</t>
  </si>
  <si>
    <t>Humedad serial 5</t>
  </si>
  <si>
    <t>Humedad serial 6</t>
  </si>
  <si>
    <t>Humedad serial 2</t>
  </si>
  <si>
    <t>Potencia Ventilador Impulsión</t>
  </si>
  <si>
    <t>Potencia Ventilador Retorno</t>
  </si>
  <si>
    <t>Potencia Aparente</t>
  </si>
  <si>
    <t>Temperature Control Setpoint</t>
  </si>
  <si>
    <t>Setpoint Confor Heat</t>
  </si>
  <si>
    <t>Setpoint Eco Heat</t>
  </si>
  <si>
    <t>Humidity Control Setpoint</t>
  </si>
  <si>
    <t>Outdoor humidity</t>
  </si>
  <si>
    <t>Supply humidity</t>
  </si>
  <si>
    <t>Ambient humidity</t>
  </si>
  <si>
    <t>Post-coil humidity</t>
  </si>
  <si>
    <t>Condensator pressure circuit 1</t>
  </si>
  <si>
    <t>Condensator pressure circuit 2</t>
  </si>
  <si>
    <t>Condensator pressure recovery circuit</t>
  </si>
  <si>
    <t>Outdoor temp.</t>
  </si>
  <si>
    <t>Supply temp.</t>
  </si>
  <si>
    <t>Mixing temp.</t>
  </si>
  <si>
    <t xml:space="preserve">T.Return/Ambient  </t>
  </si>
  <si>
    <t>Post-coil temp.</t>
  </si>
  <si>
    <t>Dif.Humidity</t>
  </si>
  <si>
    <t>Cooling setpoint limit Minimun</t>
  </si>
  <si>
    <t>Heating setpoint limit Minimun</t>
  </si>
  <si>
    <t>Cooling setpoint limit Maximun</t>
  </si>
  <si>
    <t>Heating setpoint limit Maximun</t>
  </si>
  <si>
    <t>Evaporator pressure circuit 3</t>
  </si>
  <si>
    <t>Dampers settings Freecool.</t>
  </si>
  <si>
    <t>Dif.Enthalphy On</t>
  </si>
  <si>
    <t>Dif.Enthalphy dampers</t>
  </si>
  <si>
    <t>Dif.Heat damper</t>
  </si>
  <si>
    <t>Dif.Cool damper</t>
  </si>
  <si>
    <t>Dif.Heat compressors</t>
  </si>
  <si>
    <t>Dif.Heat recovery compressor</t>
  </si>
  <si>
    <t>Dif.Cool compressors</t>
  </si>
  <si>
    <t>Dif.Cool recovery compressor</t>
  </si>
  <si>
    <t>Setpoint Confor Cool</t>
  </si>
  <si>
    <t>Setpoint Eco Cool</t>
  </si>
  <si>
    <t>Dif.Cool 3WV</t>
  </si>
  <si>
    <t>Diferencial Válvula 3 Vías Apoyo Frio</t>
  </si>
  <si>
    <t>Differential limit temp</t>
  </si>
  <si>
    <t>Forced start</t>
  </si>
  <si>
    <t>Defrost start</t>
  </si>
  <si>
    <t xml:space="preserve">Defrost end </t>
  </si>
  <si>
    <t>Setpoint dead zone humidity</t>
  </si>
  <si>
    <t>Return enthalphy</t>
  </si>
  <si>
    <t>Supply temp. 2</t>
  </si>
  <si>
    <t>From TH-TUNE Setpoint Confor</t>
  </si>
  <si>
    <t xml:space="preserve">Ambient/Return temperature </t>
  </si>
  <si>
    <t>Evaporator temperature circuit 1</t>
  </si>
  <si>
    <t>Evaporator temperature circuit 2</t>
  </si>
  <si>
    <t>Evaporator pressure circuit 1</t>
  </si>
  <si>
    <t>Evaporator pressure circuit 2</t>
  </si>
  <si>
    <t>Evaporator pressure circuit 1 to temperature</t>
  </si>
  <si>
    <t>Evaporator pressure circuit 2 to temperature</t>
  </si>
  <si>
    <t>Analog external fan circuit 1</t>
  </si>
  <si>
    <t>Analog external fan circuit 2</t>
  </si>
  <si>
    <t>Analog external fan circuit 3</t>
  </si>
  <si>
    <t>Return water temp 3WV</t>
  </si>
  <si>
    <t>Condensator pressure circuit 1 to temperature</t>
  </si>
  <si>
    <t>Condensator pressure circuit 2 to temperature</t>
  </si>
  <si>
    <t>Condensator pressure recovery circuit to temperature</t>
  </si>
  <si>
    <t>Supply fan current</t>
  </si>
  <si>
    <t>Return fan current</t>
  </si>
  <si>
    <t>Opening percent VEE circuit 1</t>
  </si>
  <si>
    <t>Suction temperature VEE circuit 1</t>
  </si>
  <si>
    <t>Evaporator pressure VEE circuit 1</t>
  </si>
  <si>
    <t>Evaporation temperature VEE circuit 1</t>
  </si>
  <si>
    <t>Opening percent VEE circuit 2</t>
  </si>
  <si>
    <t>Superheating circuit 2</t>
  </si>
  <si>
    <t>Suction temperature VEE circuit 2</t>
  </si>
  <si>
    <t>Evaporator pressure VEE circuit 2</t>
  </si>
  <si>
    <t>Evaporation temperature VEE circuit 2</t>
  </si>
  <si>
    <t>Reduced power request 1</t>
  </si>
  <si>
    <t>Reduced power request 2</t>
  </si>
  <si>
    <t>Analog humidifier</t>
  </si>
  <si>
    <t>Gas-burner temp</t>
  </si>
  <si>
    <t>Evaporation pressure recovery circuit</t>
  </si>
  <si>
    <t>Ambient entha.</t>
  </si>
  <si>
    <t>Outdoor entha.</t>
  </si>
  <si>
    <t>Enthalphy set.</t>
  </si>
  <si>
    <t>Postbat. Entha</t>
  </si>
  <si>
    <t>Supply fan temperature</t>
  </si>
  <si>
    <t>Return fan temperature</t>
  </si>
  <si>
    <t>3WV demand</t>
  </si>
  <si>
    <t>Superheat circuit 1</t>
  </si>
  <si>
    <t>Supply enthalphy</t>
  </si>
  <si>
    <t>Discharge temperature circuit 1</t>
  </si>
  <si>
    <t>Discharge temperature circuit 2</t>
  </si>
  <si>
    <t>Discharge temperature recovery circuit</t>
  </si>
  <si>
    <t>Heat dead zone 1</t>
  </si>
  <si>
    <t>Heat differential 1</t>
  </si>
  <si>
    <t>Heat dead zone 2</t>
  </si>
  <si>
    <t>Heat differential 2</t>
  </si>
  <si>
    <t>Cool dead zone 1</t>
  </si>
  <si>
    <t>Cool differential 1</t>
  </si>
  <si>
    <t>Cool dead zone 2</t>
  </si>
  <si>
    <t>Cool differential 2</t>
  </si>
  <si>
    <t>Low pressure alarm threshold</t>
  </si>
  <si>
    <t>Dif. high pressure alarm</t>
  </si>
  <si>
    <t>Mixing damper differential</t>
  </si>
  <si>
    <t>High pressure alarm threshold</t>
  </si>
  <si>
    <t>Low pressure alarm differential</t>
  </si>
  <si>
    <t>Defrost start setpoint</t>
  </si>
  <si>
    <t>Serial temp 1</t>
  </si>
  <si>
    <t>Serial temp 2</t>
  </si>
  <si>
    <t>Serial temp 3</t>
  </si>
  <si>
    <t>Serial temp 4</t>
  </si>
  <si>
    <t>Serial temp 5</t>
  </si>
  <si>
    <t>Serial temp 6</t>
  </si>
  <si>
    <t>Serial humidity 1</t>
  </si>
  <si>
    <t>Serial humidity 2</t>
  </si>
  <si>
    <t>Serial humidity 3</t>
  </si>
  <si>
    <t>Serial humidity 4</t>
  </si>
  <si>
    <t>Serial humidity 5</t>
  </si>
  <si>
    <t>Serial humidity 6</t>
  </si>
  <si>
    <t>Temperature to show on the THTune display</t>
  </si>
  <si>
    <t>Current power in [W] for Ebmpapst supply fan</t>
  </si>
  <si>
    <t>Current power in [W] for Ebmpapst return fan</t>
  </si>
  <si>
    <t>CONSIGNA_SOBREPRESION</t>
  </si>
  <si>
    <t>Ain_Sobrepresion</t>
  </si>
  <si>
    <t>PrePosicCompuerta</t>
  </si>
  <si>
    <t>DIF_SOBREPRESION</t>
  </si>
  <si>
    <t>UnivCh5_ActPrbMin_cpCOe</t>
  </si>
  <si>
    <t>UnivCh5_ActPrbMax_cpCOe</t>
  </si>
  <si>
    <t>CO2 level</t>
  </si>
  <si>
    <t>Hours Compressor 1 C1</t>
  </si>
  <si>
    <t>Hours Compressor 1 C2</t>
  </si>
  <si>
    <t>Hours Compressor 1 C3</t>
  </si>
  <si>
    <t>Hours Compressor 2 C1</t>
  </si>
  <si>
    <t>Hours Compressor 2 C2</t>
  </si>
  <si>
    <t>Hours Compressor 2 C3</t>
  </si>
  <si>
    <t>Hours Compressor recovery circuit</t>
  </si>
  <si>
    <t>Start Compressor 1 C1</t>
  </si>
  <si>
    <t>Start Compressor 1 C2</t>
  </si>
  <si>
    <t>Start Compressor 1 C3</t>
  </si>
  <si>
    <t>Starts Compressor 2 C1</t>
  </si>
  <si>
    <t>Start Compressor 2 C2</t>
  </si>
  <si>
    <t>Start Compressor 2 C3</t>
  </si>
  <si>
    <t>Start Compressor recovery circuit</t>
  </si>
  <si>
    <t>Supply fan current flow</t>
  </si>
  <si>
    <t>Return fan current flow</t>
  </si>
  <si>
    <t>Arranques Compresor Circuito Recuperación</t>
  </si>
  <si>
    <t>Defrost time Time between defrost</t>
  </si>
  <si>
    <t>Start delay defrost</t>
  </si>
  <si>
    <t>Minimum time defrost</t>
  </si>
  <si>
    <t>Maximum time defrost</t>
  </si>
  <si>
    <t>Defrost Alarms N. max for alarm</t>
  </si>
  <si>
    <t>Reverse cycle time</t>
  </si>
  <si>
    <t>Dripping time</t>
  </si>
  <si>
    <t>Start hour F1</t>
  </si>
  <si>
    <t>Start hour F2</t>
  </si>
  <si>
    <t>Start minute F2</t>
  </si>
  <si>
    <t>Start hour F3</t>
  </si>
  <si>
    <t>Start minute F3</t>
  </si>
  <si>
    <t>Start minute F4</t>
  </si>
  <si>
    <t>Start hour F4</t>
  </si>
  <si>
    <t>Start minute F1</t>
  </si>
  <si>
    <t>Heating setpoint F1</t>
  </si>
  <si>
    <t>Heating setpoint F2</t>
  </si>
  <si>
    <t>Cooling setpoint F3</t>
  </si>
  <si>
    <t>Cooling setpoint F4</t>
  </si>
  <si>
    <t>Cooling setpoint F1</t>
  </si>
  <si>
    <t>Cooling setpoint F2</t>
  </si>
  <si>
    <t>Setting scheduler day</t>
  </si>
  <si>
    <t>Copy scheduler day</t>
  </si>
  <si>
    <t>Copy scheduler</t>
  </si>
  <si>
    <t>Heating setpoint F3</t>
  </si>
  <si>
    <t>Heating setpoint F4</t>
  </si>
  <si>
    <t>Horas Compresor Circuito Recuperación</t>
  </si>
  <si>
    <t>Consigna frío periodo 3</t>
  </si>
  <si>
    <t>Modo Freecooling / Freeheating</t>
  </si>
  <si>
    <t>Define Valor Setpoint de Humedad</t>
  </si>
  <si>
    <t>Consigna ventilador 1</t>
  </si>
  <si>
    <t>Consigna ventilador 2</t>
  </si>
  <si>
    <t>Consigna ventilador 3</t>
  </si>
  <si>
    <t>Setpoint fan 1</t>
  </si>
  <si>
    <t>Setpoint fan 2</t>
  </si>
  <si>
    <t>Setpoint fan 3</t>
  </si>
  <si>
    <t>First defrost return</t>
  </si>
  <si>
    <t>Working hours</t>
  </si>
  <si>
    <t>Start-ups number</t>
  </si>
  <si>
    <t>Supply Fan Pressure diff.</t>
  </si>
  <si>
    <t>* 0001, Tiempo transcisión</t>
  </si>
  <si>
    <t>* 0004, Mes comienzo</t>
  </si>
  <si>
    <t>* 0005, Hora comienzo</t>
  </si>
  <si>
    <t>* 0002, Comienzo semanal durante mes</t>
  </si>
  <si>
    <t>* 0003, Dia comienzo durante semana</t>
  </si>
  <si>
    <t>* 0006, Finalización semanal durante mes</t>
  </si>
  <si>
    <t>* 0007, Día finalización durante semana</t>
  </si>
  <si>
    <t>* 0008, Mes finalización</t>
  </si>
  <si>
    <t>* 0009, Hora finalización</t>
  </si>
  <si>
    <t>Start-ups compressor 3 circuit 1</t>
  </si>
  <si>
    <t>Hours compressor 3 circuit 2</t>
  </si>
  <si>
    <t>Hours compressor 3 circuit 1</t>
  </si>
  <si>
    <t>Start-ups compressor 3 circuit 2</t>
  </si>
  <si>
    <t>Consigna regulación CO2</t>
  </si>
  <si>
    <t>Consigna regulación VOC</t>
  </si>
  <si>
    <t>Diferencial regulación VOC</t>
  </si>
  <si>
    <t>Supply / Return pressure differential</t>
  </si>
  <si>
    <t>Límite Máximo Diferencial Presión Impulsión-Retorno</t>
  </si>
  <si>
    <t>Supply / Return pressure differential maximum</t>
  </si>
  <si>
    <t>Día comienzo periodo 1</t>
  </si>
  <si>
    <t>Resistances hours stage 1</t>
  </si>
  <si>
    <t>Resistances hours stage 2</t>
  </si>
  <si>
    <t>Supply fan working hours</t>
  </si>
  <si>
    <t>Return fan working hours</t>
  </si>
  <si>
    <t>Horas Funcionamiento ventilador Retorno</t>
  </si>
  <si>
    <t>Horas Funcionamiento ventilador Impulsión</t>
  </si>
  <si>
    <t>External fan 1 working hours</t>
  </si>
  <si>
    <t>External fan 2 working hours</t>
  </si>
  <si>
    <t>External fan 3 working hours</t>
  </si>
  <si>
    <t>Comienzo mes periodo 1</t>
  </si>
  <si>
    <t>Día parada periodo 1</t>
  </si>
  <si>
    <t>Día parada periodo 2</t>
  </si>
  <si>
    <t>Mes parada periodo 1</t>
  </si>
  <si>
    <t>Consigna frío periodo 1</t>
  </si>
  <si>
    <t>Consigna calor periodo 1</t>
  </si>
  <si>
    <t>Número máximo de días P1_Start_Month</t>
  </si>
  <si>
    <t>Número máximo de días P1_Stop_Month</t>
  </si>
  <si>
    <t>Día comienzo periodo 2</t>
  </si>
  <si>
    <t>Mes comienzo periodo 2</t>
  </si>
  <si>
    <t>Mes parada periodo 2</t>
  </si>
  <si>
    <t>Consigna frío periodo 2</t>
  </si>
  <si>
    <t>Consigna calor periodo 3</t>
  </si>
  <si>
    <t>Consigna calor periodo 2</t>
  </si>
  <si>
    <t>Número máximo de días P2_Stop_Month</t>
  </si>
  <si>
    <t>Número máximo de días P2_Start_Month</t>
  </si>
  <si>
    <t>Día comienzo periodo 3</t>
  </si>
  <si>
    <t>Mes comienzo periodo 3</t>
  </si>
  <si>
    <t>Día parada periodo 3</t>
  </si>
  <si>
    <t>Mes parada periodo 3</t>
  </si>
  <si>
    <t>Número máximo de días P3_Start_Month</t>
  </si>
  <si>
    <t>Número máximo de días P3_Stop_Month</t>
  </si>
  <si>
    <t>Special day 1 día</t>
  </si>
  <si>
    <t>Special day 1 mes</t>
  </si>
  <si>
    <t>Special day 1 consigna frío</t>
  </si>
  <si>
    <t>Special day 1 consigna calor</t>
  </si>
  <si>
    <t>Número máximo de días SD1_Month</t>
  </si>
  <si>
    <t>Special day 2 día</t>
  </si>
  <si>
    <t>Special day 2 mes</t>
  </si>
  <si>
    <t>Special day 2 consigna frío</t>
  </si>
  <si>
    <t>Special day 2 consigna calor</t>
  </si>
  <si>
    <t>Número máximo de días SD2_Month</t>
  </si>
  <si>
    <t>Special day 3 día</t>
  </si>
  <si>
    <t>Special day 3 mes</t>
  </si>
  <si>
    <t>Special day 3 consigna frío</t>
  </si>
  <si>
    <t>Special day 3 consigna calor</t>
  </si>
  <si>
    <t>Número máximo de días SD3_Month</t>
  </si>
  <si>
    <t>Special day 4 día</t>
  </si>
  <si>
    <t>Special day 4 mes</t>
  </si>
  <si>
    <t>Número máximo de días SD4_Month</t>
  </si>
  <si>
    <t>Special day 4 consigna frío</t>
  </si>
  <si>
    <t>Special day 4 consigna calor</t>
  </si>
  <si>
    <t>Special day 5 día</t>
  </si>
  <si>
    <t>Special day 5 mes</t>
  </si>
  <si>
    <t>Número máximo de días SD5_Month</t>
  </si>
  <si>
    <t>Special day 5 consigna frío</t>
  </si>
  <si>
    <t>Special day 5 consigna calor</t>
  </si>
  <si>
    <t>Special day 6 día</t>
  </si>
  <si>
    <t>Special day 6 mes</t>
  </si>
  <si>
    <t>Número máximo de días SD6_Month</t>
  </si>
  <si>
    <t>Special day 6 consigna frío</t>
  </si>
  <si>
    <t>Special day 6 consigna calor</t>
  </si>
  <si>
    <t>Velocidad actual ventilador [rpm]</t>
  </si>
  <si>
    <t>Hours compressor 3 circuit 3</t>
  </si>
  <si>
    <t>Start-ups compressor 3 circuit 3</t>
  </si>
  <si>
    <t>Humidity regulation integral time</t>
  </si>
  <si>
    <t>Humidity regulation derivative time</t>
  </si>
  <si>
    <t>Consigna humedad mínima</t>
  </si>
  <si>
    <t>Consigna humedad máxima</t>
  </si>
  <si>
    <t>Humedad THTune 1</t>
  </si>
  <si>
    <t>Humidity THTUNE 1</t>
  </si>
  <si>
    <t>Velocidad actual ventilador impulsión EBM [rpm]</t>
  </si>
  <si>
    <t>Velocidad actual ventilador retorno EBM [rpm]</t>
  </si>
  <si>
    <t>Current speed in [rpm] of the fan for Ebmpapst supply fan</t>
  </si>
  <si>
    <t>Current speed in [rpm] of the fan for Ebmpapst return fan</t>
  </si>
  <si>
    <t>Intensidad ventilador impulsión EBM</t>
  </si>
  <si>
    <t>Voltaje ventilador impulsión EBM</t>
  </si>
  <si>
    <t>DC link amperage in [A] for Ebmpapst supply fan</t>
  </si>
  <si>
    <t>DC link voltage for Ebmpapst supply fan</t>
  </si>
  <si>
    <t>Voltaje ventilador retorno EBM</t>
  </si>
  <si>
    <t>DC link amperage in [A] for Ebmpapst return fan</t>
  </si>
  <si>
    <t>DC link voltage for Ebmpapst return fan</t>
  </si>
  <si>
    <t>Internal circuit temperature for Ebmpapst supply fan</t>
  </si>
  <si>
    <t>Temperatura circuito interno ventilador impulsión EBM</t>
  </si>
  <si>
    <t>Diferencial presión ventilador retorno</t>
  </si>
  <si>
    <t>Pressure differential for return fan</t>
  </si>
  <si>
    <t>Velocidad requerida según control velocidad para ventilador ZiehlAbegg</t>
  </si>
  <si>
    <t>Velocidad actual ventilador ZiehlAbegg</t>
  </si>
  <si>
    <t>Corriente ventilador retorno EBM</t>
  </si>
  <si>
    <t>Velocidad ventilador [rpm]</t>
  </si>
  <si>
    <t>Velocidad ventilador EBM 1 [rpm]</t>
  </si>
  <si>
    <t>Potencia ventilador EBM 1 [W]</t>
  </si>
  <si>
    <t>Voltaje ventilador EBM 1</t>
  </si>
  <si>
    <t>Corriente ventilador EBM 1 [A]</t>
  </si>
  <si>
    <t>Temperatura circuito interno ventilador EBM 1</t>
  </si>
  <si>
    <t>Potencia ventilador EBM 2 [W]</t>
  </si>
  <si>
    <t>Warning ventilador EBM 1</t>
  </si>
  <si>
    <t>SOBREPRESION</t>
  </si>
  <si>
    <t>FactorCMezcla</t>
  </si>
  <si>
    <t>T_PrePosic</t>
  </si>
  <si>
    <t>TiSobreP</t>
  </si>
  <si>
    <t>TdSobreP</t>
  </si>
  <si>
    <t>RetCerrarCompuOFF</t>
  </si>
  <si>
    <t>Min_Time_0_SP</t>
  </si>
  <si>
    <t>Max_Time_0_SP</t>
  </si>
  <si>
    <t>Min_Time_100_SP</t>
  </si>
  <si>
    <t>Max_Time_100_SP</t>
  </si>
  <si>
    <t>DEMANDA_SOBREPRESION</t>
  </si>
  <si>
    <t>Overpressure demand</t>
  </si>
  <si>
    <t>Klixon alarm internal fan</t>
  </si>
  <si>
    <t>Cooling / Heating status</t>
  </si>
  <si>
    <t>Enable automatic cooling / heating</t>
  </si>
  <si>
    <t>Cooling / Heating display</t>
  </si>
  <si>
    <t>Enable On-Off unit by digital input</t>
  </si>
  <si>
    <t>Compressors Overload Compressors Circ1</t>
  </si>
  <si>
    <t>Compressors Overload Compressors Circ2</t>
  </si>
  <si>
    <t>Compressors Overload Compressors Circ3</t>
  </si>
  <si>
    <t>Elect.Heater/Burner alarm</t>
  </si>
  <si>
    <t>Recovery circuit high pressure pressostat alarm</t>
  </si>
  <si>
    <t>Defrost circuit 1 status</t>
  </si>
  <si>
    <t>Defrost circuit 2 status</t>
  </si>
  <si>
    <t>Defrost circuit 3 status</t>
  </si>
  <si>
    <t>On-Off supervision</t>
  </si>
  <si>
    <t>Supply fan EBM alarm</t>
  </si>
  <si>
    <t>Cooling/Heating</t>
  </si>
  <si>
    <t>Cooling</t>
  </si>
  <si>
    <t>Heating</t>
  </si>
  <si>
    <t>Cycle inverter valve circuit 1</t>
  </si>
  <si>
    <t>Cycle inverter valve circuit 2</t>
  </si>
  <si>
    <t>Cycle inverter valve circuit 3</t>
  </si>
  <si>
    <t>Elect.Heater/Burner stage 1</t>
  </si>
  <si>
    <t>Elect.Heater/Burner stage 2</t>
  </si>
  <si>
    <t>Humidifier</t>
  </si>
  <si>
    <t xml:space="preserve">External fan circuit 1 star </t>
  </si>
  <si>
    <t>External fan circuit 1 delta</t>
  </si>
  <si>
    <t>External fan circuit 2 star</t>
  </si>
  <si>
    <t>External fan circuit 2 delta</t>
  </si>
  <si>
    <t>External fan circuit 3 star</t>
  </si>
  <si>
    <t>External fan circuit 3 delta</t>
  </si>
  <si>
    <t>Working hours comp1 circ1 alarms</t>
  </si>
  <si>
    <t>Working hours comp1 circ2 alarms</t>
  </si>
  <si>
    <t>Working hours comp3 circ1 alarms</t>
  </si>
  <si>
    <t>Working hours comp2 circ2 alarms</t>
  </si>
  <si>
    <t>Working hours comp1 circ3 alarms</t>
  </si>
  <si>
    <t>Working hours comp2 circ3 alarms</t>
  </si>
  <si>
    <t>High pressure pressostat circ1</t>
  </si>
  <si>
    <t>High pressure pressostat circ2</t>
  </si>
  <si>
    <t>High pressure pressostat circ3</t>
  </si>
  <si>
    <t>High pressure pressostat recovery circuit</t>
  </si>
  <si>
    <t>Low pressure pressostat circ1</t>
  </si>
  <si>
    <t>Low pressure pressostat circ2</t>
  </si>
  <si>
    <t>Low pressure pressostat circ3</t>
  </si>
  <si>
    <t>Low pressure pressostat recovery circuit</t>
  </si>
  <si>
    <t>On-Off schedule</t>
  </si>
  <si>
    <t>PCO phases activation</t>
  </si>
  <si>
    <t>Mixing temperature</t>
  </si>
  <si>
    <t>Internal humidity</t>
  </si>
  <si>
    <t>External humidity</t>
  </si>
  <si>
    <t>Active freecooling</t>
  </si>
  <si>
    <t>Active freeheating</t>
  </si>
  <si>
    <t>External temperature</t>
  </si>
  <si>
    <t>Return / Ambient temperature</t>
  </si>
  <si>
    <t>Supply temperature</t>
  </si>
  <si>
    <t>Condensation pressure circuit 1</t>
  </si>
  <si>
    <t>Rotaty recovery alarm</t>
  </si>
  <si>
    <t>Compressor overload internal fan alarm</t>
  </si>
  <si>
    <t>Internal fan status alarm</t>
  </si>
  <si>
    <t>Internal fan serious status alarm</t>
  </si>
  <si>
    <t>Working hours comp3 circ2 alarms</t>
  </si>
  <si>
    <t>Compressors working block low mixing temperature warning</t>
  </si>
  <si>
    <t>Power limit 7</t>
  </si>
  <si>
    <t>Power limit 8</t>
  </si>
  <si>
    <t>Power limit 9</t>
  </si>
  <si>
    <t>Compressor overload comp1 recovery circuit alarm</t>
  </si>
  <si>
    <t>High pressure pressostat memory alarm circuit 1</t>
  </si>
  <si>
    <t>High pressure pressostat memory alarm circuit 2</t>
  </si>
  <si>
    <t>High pressure pressostat memory alarm circuit 3</t>
  </si>
  <si>
    <t>High pressure pressostat memory alarm recovery circuit</t>
  </si>
  <si>
    <t>High condensation pressure memory alarm circuit 1</t>
  </si>
  <si>
    <t>High condensation pressure memory alarm circuit 2</t>
  </si>
  <si>
    <t>High condensation pressure memory alarm circuit 3</t>
  </si>
  <si>
    <t>High condensation pressure memory alarm recovery circuit</t>
  </si>
  <si>
    <t>LP by pressostat alarm circ1</t>
  </si>
  <si>
    <t>LP by pressostat alarm circ2</t>
  </si>
  <si>
    <t>LP by pressostat alarm circ3</t>
  </si>
  <si>
    <t>LP by pressostat alarm recovery circuit</t>
  </si>
  <si>
    <t>LP by transducer alarm circ1</t>
  </si>
  <si>
    <t>LP by transducer alarm circ2</t>
  </si>
  <si>
    <t>LP by transducer alarm circ3</t>
  </si>
  <si>
    <t>LP by transducer alarm recovery circuit</t>
  </si>
  <si>
    <t>Discharge temperature 1</t>
  </si>
  <si>
    <t>Return fan stop/start</t>
  </si>
  <si>
    <t>Enable control demand</t>
  </si>
  <si>
    <t>Evaporation pressure probe circuit 2 fault or not connected (0-No alarm 1-Alarm)</t>
  </si>
  <si>
    <t>Air return temperature probe fault or not connected (0-No alarm 1-Alarm)</t>
  </si>
  <si>
    <t>Air return humidity probe fault or not connected (0-No alarm 1-Alarm)</t>
  </si>
  <si>
    <t>Working compressors block low external temperature warning</t>
  </si>
  <si>
    <t>Filter warning</t>
  </si>
  <si>
    <t>Post-coil stage 1</t>
  </si>
  <si>
    <t>Post-coil stage 2</t>
  </si>
  <si>
    <t>Pre-coil stage 1</t>
  </si>
  <si>
    <t>Pre-coil stage 2</t>
  </si>
  <si>
    <t>Leaks detector</t>
  </si>
  <si>
    <t>Differential pressure probe fault or not connected (0-No alarm 1-Alarm)</t>
  </si>
  <si>
    <t>Establecer nuevo día</t>
  </si>
  <si>
    <t>Establecer nueva hora</t>
  </si>
  <si>
    <t>Establecer nuevo minuto</t>
  </si>
  <si>
    <t>Establecer nuevo mes</t>
  </si>
  <si>
    <t>Establecer nuevo día de la semana</t>
  </si>
  <si>
    <t>Establecer nuevo año</t>
  </si>
  <si>
    <t>Impulsión Nicotra online</t>
  </si>
  <si>
    <t>Retorno Nicotra online</t>
  </si>
  <si>
    <t>Online supply Nicotra</t>
  </si>
  <si>
    <t>Online return Nicotra</t>
  </si>
  <si>
    <t>Habilitar supervisión</t>
  </si>
  <si>
    <t>Enable supervision</t>
  </si>
  <si>
    <t>Remote stop/start priority</t>
  </si>
  <si>
    <t>Supervision stop/start priority</t>
  </si>
  <si>
    <t>Defrost recovery circuit status</t>
  </si>
  <si>
    <t>Defrost circuit 4 status</t>
  </si>
  <si>
    <t>Dampers limits setting Mixing temp.</t>
  </si>
  <si>
    <t>Supply temperature 1</t>
  </si>
  <si>
    <t>Evaporation pressure 1</t>
  </si>
  <si>
    <t>Suction temperature</t>
  </si>
  <si>
    <t>Aviso presostato baja</t>
  </si>
  <si>
    <t>Aviso transductor baja</t>
  </si>
  <si>
    <t>Overload compressor internal fan</t>
  </si>
  <si>
    <t>Alarma térmico ventilador interior</t>
  </si>
  <si>
    <t>Defrost end time alarm</t>
  </si>
  <si>
    <t>Alarm on the THTune temperature probe actually used</t>
  </si>
  <si>
    <t>Alarma THTune sonda temperatura usada</t>
  </si>
  <si>
    <t>Alarma THTune sonda humedad</t>
  </si>
  <si>
    <t>Alarma THTune tarjeta reloj</t>
  </si>
  <si>
    <t>Alarma presostato de alta modo manual</t>
  </si>
  <si>
    <t>Alarma transductor de alta modo manual</t>
  </si>
  <si>
    <t>Alarma caudal impulsión</t>
  </si>
  <si>
    <t>Alarma caudal retorno</t>
  </si>
  <si>
    <t>Alarma Quemador / Resistencia</t>
  </si>
  <si>
    <t>Alarma ventilador retorno</t>
  </si>
  <si>
    <t>Return fan alarm</t>
  </si>
  <si>
    <t>Alarma ventilador EBM offline</t>
  </si>
  <si>
    <t>Emergency stop</t>
  </si>
  <si>
    <t>Humidifier alarm</t>
  </si>
  <si>
    <t>Alarma quemador / resistencia</t>
  </si>
  <si>
    <t>Offline alarma - cpCOe</t>
  </si>
  <si>
    <t>Alarma superado límite de presión diferencial de impulsión / retorno</t>
  </si>
  <si>
    <t>Supply / return differ. pressure limit reached alarm</t>
  </si>
  <si>
    <t>Alcanzado nivel alarma temperatura descarga circuito 1</t>
  </si>
  <si>
    <t>Alcanzado nivel alarma temperatura descarga circuito 2</t>
  </si>
  <si>
    <t>Alcanzado nivel alarma temperatura descarga circuito 3</t>
  </si>
  <si>
    <t>Alcanzado nivel alarma temperatura descarga circuito recuperación</t>
  </si>
  <si>
    <t>Discharge temperature alarm level reached circuit 1</t>
  </si>
  <si>
    <t>Discharge temperature alarm level reached circuit 2</t>
  </si>
  <si>
    <t>Discharge temperature alarm level reached circuit 3</t>
  </si>
  <si>
    <t>Discharge temperature alarm level reached recovery circuit</t>
  </si>
  <si>
    <t>Aviso presión alta circuito 2</t>
  </si>
  <si>
    <t>High pressure prevent warning circuit 2</t>
  </si>
  <si>
    <t>Low pressure prevent warning circuit 2</t>
  </si>
  <si>
    <t>Aviso presión alta circuito 3</t>
  </si>
  <si>
    <t>Aviso presión baja circuito 2</t>
  </si>
  <si>
    <t>Aviso baja descarga circuito 2</t>
  </si>
  <si>
    <t>Aviso baja descarga circuito 3</t>
  </si>
  <si>
    <t>Aviso alta descarga circuito 2</t>
  </si>
  <si>
    <t>Aviso presión baja circuito 3</t>
  </si>
  <si>
    <t>Aviso alta descarga circuito 3</t>
  </si>
  <si>
    <t>High pressure prevent warning circuit 3</t>
  </si>
  <si>
    <t>Low pressure prevent warning circuit 3</t>
  </si>
  <si>
    <t>Error transmisión de parámetros</t>
  </si>
  <si>
    <t>Parameters transmission error</t>
  </si>
  <si>
    <t>Firmware no compatible / incapaz de comunicar con el EVD EVO</t>
  </si>
  <si>
    <t>Offline alarma - ventilador Ziehl-Abegg</t>
  </si>
  <si>
    <t>MOP Alarms</t>
  </si>
  <si>
    <t>Sel_PID_ZM_SP</t>
  </si>
  <si>
    <t>EN_SobrePresion</t>
  </si>
  <si>
    <t>Valor Humedad Impulsión</t>
  </si>
  <si>
    <t>Valor  Humedad Exterior</t>
  </si>
  <si>
    <t>Valor Humedad Interior</t>
  </si>
  <si>
    <t>Valor Humedad Post Bateria</t>
  </si>
  <si>
    <t xml:space="preserve">Estado Compresor1 circuito1 (0: Off; 1: On) si este se encuentra habilitado </t>
  </si>
  <si>
    <t>Estado  Compresor3 circuito4 (0: Off; 1: On) si este se encuentra habilitado</t>
  </si>
  <si>
    <t>Estado Compresor2 circuito4 (0: Off; 1: On) si este se encuentra habilitado</t>
  </si>
  <si>
    <t>Estado Compresor1 circuito4 (0: Off; 1: On) si este se encuentra habilitado</t>
  </si>
  <si>
    <t>Estado  Compresor3 circuito3 (0: Off; 1: On) si este se encuentra habilitado</t>
  </si>
  <si>
    <t>Estado  Compresor2 circuito3 (0: Off; 1: On) si este se encuentra habilitado</t>
  </si>
  <si>
    <t>Estado  Compresor1 circuito3 (0: Off; 1: On) si este se encuentra habilitado</t>
  </si>
  <si>
    <t>Estado  Compresor1 circuito2 (0: Off; 1: On) si este se encuentra habilitado</t>
  </si>
  <si>
    <t>Estado  Compresor2 circuito2 (0: Off; 1: On) si este se encuentra habilitado</t>
  </si>
  <si>
    <t xml:space="preserve"> Estado  Compresor3 circuito2 (0: Off; 1: On) si este se encuentra habilitado</t>
  </si>
  <si>
    <t>Estado Compresor3 circuito1 (0: Off; 1: On) si este se encuentra habilitado</t>
  </si>
  <si>
    <t>Estado Compresor2 circuito1 (0: Off; 1: On) si este se encuentra habilitado</t>
  </si>
  <si>
    <t>Alarma Humedad Interior</t>
  </si>
  <si>
    <t>Alarma Humedad Exterior</t>
  </si>
  <si>
    <t>Memoria Alarma temperatura exterior</t>
  </si>
  <si>
    <t>Memoria temperatura retorno / ambiente</t>
  </si>
  <si>
    <t>Memoria Alarma temperatura mezcla</t>
  </si>
  <si>
    <t>Memoria Alarma temperatura impulsión</t>
  </si>
  <si>
    <t>Memoria Alarma humedad exterior</t>
  </si>
  <si>
    <t>Memoria Alarma temperatura aspiracion 1</t>
  </si>
  <si>
    <t>Memoria Alarma presión condensación circuito 1</t>
  </si>
  <si>
    <t>Memoria Alarma presion evaporacion 1</t>
  </si>
  <si>
    <t>Memoria Alarma temperatura descarga 1</t>
  </si>
  <si>
    <t>Memoria Alarma temperatura aspiracion</t>
  </si>
  <si>
    <t>Memoria Alarma CO2</t>
  </si>
  <si>
    <t>Memoria Alarma VOC</t>
  </si>
  <si>
    <t>Memoria Alarma humedad interior</t>
  </si>
  <si>
    <t>Virt_Aout_2_Value</t>
  </si>
  <si>
    <t>% apertura Compuerta mezcla</t>
  </si>
  <si>
    <t>3276.8</t>
  </si>
  <si>
    <t>-3276.9</t>
  </si>
  <si>
    <t>Virt_Aout_1_Value</t>
  </si>
  <si>
    <t>% de apertura de la compuerta exterior</t>
  </si>
  <si>
    <t>% opening of the outer damper</t>
  </si>
  <si>
    <t>% opening Mixing damper</t>
  </si>
  <si>
    <t>Revisar</t>
  </si>
  <si>
    <t>Descripción o texto incorrecto/incompleto</t>
  </si>
  <si>
    <t>Eliminar</t>
  </si>
  <si>
    <t>Revisar niveles de lectura (cliente-fabricante)</t>
  </si>
  <si>
    <t>Mínima Apertura Compuerta Exterior expulsión</t>
  </si>
  <si>
    <t>Minimum Opening Outer Exhaust Damper</t>
  </si>
  <si>
    <t xml:space="preserve">Diferencial Frío: sumatorio de los  difereneciales de los elementos que se habilitan dada unas condiciones en la banda de regulación </t>
  </si>
  <si>
    <t>Cold differential: Sum of the differentials of the elements that are enabled given certain conditions in the regulation band.</t>
  </si>
  <si>
    <t>Heat differential: Sum of the differentials of the elements that are enabled given certain conditions in the regulation band.</t>
  </si>
  <si>
    <t xml:space="preserve">Diferencial Calor:  sumatorio de los   difereneciales de los elementos que se habilitan dada unas condiciones en la banda de regulación </t>
  </si>
  <si>
    <t>Consigna Limite de la Temperatura de baja en impulsión</t>
  </si>
  <si>
    <t>Consigna Limite de la Temperatura de alta en impulsión</t>
  </si>
  <si>
    <t>Set point limit of supply high temperature</t>
  </si>
  <si>
    <t xml:space="preserve">Zona Muerta permanente cuando se trabaja en Modo Automatico </t>
  </si>
  <si>
    <t>Permanent Dead Zone when working in Automatic Mode</t>
  </si>
  <si>
    <t>Setpoint limit of supply low temperature</t>
  </si>
  <si>
    <t>Temperatura Impulsión 2</t>
  </si>
  <si>
    <t>Temperatura demandada cuando se trabaja en modo Global. (Modo Global se emplea cuando se trabaja con maestro de rotación).</t>
  </si>
  <si>
    <t>Temperature demanded when working in Global mode (Global mode is used when working with rotation master).</t>
  </si>
  <si>
    <t>Corriente Línea 1, empleo del opcional medidor de energía</t>
  </si>
  <si>
    <t>Current Line 1, use of optional power meter</t>
  </si>
  <si>
    <t>Current line 2,  use of optional power meter</t>
  </si>
  <si>
    <t>Current line 3,  use of optional power meter</t>
  </si>
  <si>
    <t>Reactive power 1,  use of optional power meter</t>
  </si>
  <si>
    <t>Reactive power 2,  use of optional power meter</t>
  </si>
  <si>
    <t>Reactive power 3,  use of optional power meter</t>
  </si>
  <si>
    <t>Apparent power,  use of optional power meter</t>
  </si>
  <si>
    <t>Corriente Línea 2, empleo del opcional medidor de energía</t>
  </si>
  <si>
    <t>Corriente Línea 3, empleo del opcional medidor de energía</t>
  </si>
  <si>
    <t>Potencia Aparente 1, empleo del opcional medidor de energía</t>
  </si>
  <si>
    <t>Potencia Aparente 2, empleo del opcional medidor de energía</t>
  </si>
  <si>
    <t>Potencia Aparente 3, empleo del opcional medidor de energía</t>
  </si>
  <si>
    <t>Potencia Aparente Total, empleo del opcional medidor de energía</t>
  </si>
  <si>
    <t>Potencia Reactiva 1, empleo del opcional medidor de energía</t>
  </si>
  <si>
    <t xml:space="preserve">Potencia Reactiva 2, empleo del opcional medidor de energía </t>
  </si>
  <si>
    <t>Potencia Reactiva 3, empleo del opcional medidor de energía</t>
  </si>
  <si>
    <t>Potencia Reactiva Total, empleo del opcional medidor de energía</t>
  </si>
  <si>
    <t>Potencia Línea 1, empleo del opcional medidor de energía</t>
  </si>
  <si>
    <t>Potencia Línea 2, empleo del opcional medidor de energía</t>
  </si>
  <si>
    <t>Potencia Línea 3, empleo del opcional medidor de energía</t>
  </si>
  <si>
    <t>Corriente Máxima, empleo del opcional medidor de energía</t>
  </si>
  <si>
    <t>Diferencial Corriente, empleo del opcional medidor de energía</t>
  </si>
  <si>
    <t>Potencia Máxima, empleo del opcional medidor de energía</t>
  </si>
  <si>
    <t>Diferencial Potencia, empleo del opcional medidor de energía</t>
  </si>
  <si>
    <t>Reactive power 3, use of optional power meter</t>
  </si>
  <si>
    <t>Reactive power, use of optional power meter</t>
  </si>
  <si>
    <t>Power 1, use of optional power meter</t>
  </si>
  <si>
    <t>Power 2, use of optional power meter</t>
  </si>
  <si>
    <t>Power 3, use of optional power meter</t>
  </si>
  <si>
    <t>Maximum current, use of optional power meter</t>
  </si>
  <si>
    <t>Current differential, use of optional power meter</t>
  </si>
  <si>
    <t>Maximum power, use of optional power meter</t>
  </si>
  <si>
    <t>Power differential, use of optional power meter</t>
  </si>
  <si>
    <t>Consigna Trabajo se le asignará un valor u otro en función del valor asignado a la consigna en su modo de trabajo ya sea frío, calor o Invierno/Verano.</t>
  </si>
  <si>
    <t>Working Setpoint will be assigned one value or another depending on the value assigned to the setpoint in its work mode, whether it is cold, heat or Winter/Summer.</t>
  </si>
  <si>
    <t xml:space="preserve">Consigna Presión Condensación del Circuito </t>
  </si>
  <si>
    <t>Diferencial Presión Condensación del Circuito</t>
  </si>
  <si>
    <t xml:space="preserve">Consigna Presión Evaporación del Circuito </t>
  </si>
  <si>
    <t xml:space="preserve">Diferencial Presión Evaporación del Circuito </t>
  </si>
  <si>
    <t>Condensation circuit pressure  setpoint</t>
  </si>
  <si>
    <t>Condensation circuit pressure differential</t>
  </si>
  <si>
    <t>Evaporation circuit pressure circuit setpoint</t>
  </si>
  <si>
    <t>Evaporation circuit pressure circuit differential</t>
  </si>
  <si>
    <t xml:space="preserve">Porcentaje de Caudal de Aire Solicitado </t>
  </si>
  <si>
    <t xml:space="preserve">Percentage of Air Flow Requested </t>
  </si>
  <si>
    <t>Porcentaje de Caudal de aire solicitado por BMS</t>
  </si>
  <si>
    <t>Percentage of air flow requested by BMS</t>
  </si>
  <si>
    <t>Temperatura Retorno / Ambiente para placa de rotación</t>
  </si>
  <si>
    <t>Return / Ambient temperature for rotating plate</t>
  </si>
  <si>
    <t>Temperatura Retorno Aire (Medidor de Energía Térmica)</t>
  </si>
  <si>
    <t>Air Return Temperature (Thermal Energy Meter)</t>
  </si>
  <si>
    <t>Humedad Retorno Aire (Medidor de Energia Térmica)</t>
  </si>
  <si>
    <t>Return Air Humidity (Thermal Energy Meter)</t>
  </si>
  <si>
    <t>Demandad Quemador de Gas/Resistencias</t>
  </si>
  <si>
    <t>Gas Burner Demand/Resistances</t>
  </si>
  <si>
    <t xml:space="preserve">Dada la demanda del Compresor de Recuperación se calcula con un máximo y un mínimo la demanda requerida del compresor de recuperacion </t>
  </si>
  <si>
    <t xml:space="preserve">Given the demand of the recovery compressor, the required demand of the recovery compressor is calculated with a maximum and a minimum. </t>
  </si>
  <si>
    <t xml:space="preserve">Cosas que YO borraria para el cliente viendo el código </t>
  </si>
  <si>
    <t xml:space="preserve">Temperatura Devanado Motor del Ventilador </t>
  </si>
  <si>
    <t>Fan motor winding temperature</t>
  </si>
  <si>
    <t xml:space="preserve">Consigna Modo Auto, Cuando activamos consigna eco 2	</t>
  </si>
  <si>
    <t>Auto mode setpoint, when we activate eco 2 setpoint</t>
  </si>
  <si>
    <t>Diferencial Resistencia Deshumectación Permanente Pantalla B04</t>
  </si>
  <si>
    <t>Permanent Dehumidification Resistance Differential. Screen B04</t>
  </si>
  <si>
    <t>Frecuencia en Medido de Energía</t>
  </si>
  <si>
    <t>Frequency in Energy Measurement</t>
  </si>
  <si>
    <t>Temperatura Protección Compresores Exterior. Pantalla Ha19</t>
  </si>
  <si>
    <t>Lock operating compressors by external temp. Screen Ha19</t>
  </si>
  <si>
    <t>Diferencial Temperatura Protección Compresores Exterior.  Pantalla Ha19</t>
  </si>
  <si>
    <t>Lock operating compressors by external temp differential. Screen Ha19</t>
  </si>
  <si>
    <t>Temperatura Exterior Reduce nº Compresores. Ha19</t>
  </si>
  <si>
    <t>Compressors reduction by external temp. Ha19</t>
  </si>
  <si>
    <t>Compressors reduction end by external temp. Ha19</t>
  </si>
  <si>
    <t>Consigna Resistencia Precalentamiento. Ha28</t>
  </si>
  <si>
    <t>Preheating resistance setpoint. Ha28</t>
  </si>
  <si>
    <t>Diferencial Resistencia Precalentamiento. Ha28</t>
  </si>
  <si>
    <t>Preheating resistance differential. Ha28</t>
  </si>
  <si>
    <t>Ventilador Interior EBM. Valor mínimo de presión ventilación</t>
  </si>
  <si>
    <t>Indoor EBM fan.Ventilation minimun pressure</t>
  </si>
  <si>
    <t>Low pressure supply differential on indoor fans EBM</t>
  </si>
  <si>
    <t>Diferencial de suministro de baja presión en ventiladores interiores EBM</t>
  </si>
  <si>
    <t>Límite mínimo demanda de velocidad Caudal Ventiladores</t>
  </si>
  <si>
    <t>Minimum speed demand limit Flow rate Fans</t>
  </si>
  <si>
    <t>Maximum speed demand limit Flow rate Fans</t>
  </si>
  <si>
    <t>Límite máximo demanda de velocidad Caudal Ventiladores</t>
  </si>
  <si>
    <t>Seguridad Compresores, % mínimo caudal de aire impulsado para realizar parada de compresores. Hc21</t>
  </si>
  <si>
    <t>Compressor safety, % minimum driven air flow for compressor shutdown. Hc21</t>
  </si>
  <si>
    <t>Seguridad Compresores, % caudal de aire impulsado para arranque de compresores. Hc21</t>
  </si>
  <si>
    <t>Compressor safety, % compressor start-up air flow rate. Hc21</t>
  </si>
  <si>
    <t>Diferencial demanda Límite de compresores en función del caudal de aire impulsado. Hc21</t>
  </si>
  <si>
    <t>Differential demand Compressor limit as a function of driven air flow rate. Hc21</t>
  </si>
  <si>
    <t>Se emplea en Cálculo de la demanda de compresores en función de la demanda caudal de aire impulsado. Sirve para corregir la demanda de caudal dado un desplazamiento por pantalla. Hc21.</t>
  </si>
  <si>
    <t>It is used in the calculation of compressor demand as a function of driven air flow demand. It is used to correct the flow demand given a displacement per screen. Hc21.</t>
  </si>
  <si>
    <t>Valor Sonda 3. Menú Calibarción sondas</t>
  </si>
  <si>
    <t>Valor Sonda 4. Menú Calibarción sondas</t>
  </si>
  <si>
    <t xml:space="preserve">Valor Sonda 1. Menú Calibarción sondas </t>
  </si>
  <si>
    <t>Valor Sonda 2. Menú Calibarción sondas</t>
  </si>
  <si>
    <t>S1 probe value. Probe calibration menu</t>
  </si>
  <si>
    <t>S3 probe value. Probe calibration menu</t>
  </si>
  <si>
    <t>S4 probe value. Probe calibration menu</t>
  </si>
  <si>
    <t>S2 Probe value. Probe calibration menu</t>
  </si>
  <si>
    <t>ºC</t>
  </si>
  <si>
    <t xml:space="preserve">Consigna Temperatura en función del Modo de funcionamiento Verano/Invierno. Tomará su valor en función de la consigna calor confort o consigna auto </t>
  </si>
  <si>
    <t>Temperature set point as a function of operating mode Summer/Winter. It will take its value depending on the comfort heat setpoint or auto setpoint.</t>
  </si>
  <si>
    <t>Preguntas que se van generando</t>
  </si>
  <si>
    <t>Consigna limitadora máxima Humedad Impulsión. Cuando la sonda de humedad impulsión esta activa. Gec06</t>
  </si>
  <si>
    <t>Diferencial de la limitadora máxima Humedad Impulsión. Cuando la sonda de humedad impulsión esta activa. Gec06</t>
  </si>
  <si>
    <t>Maximum limiting set point for supply humidity. When the supply humidity probe is active. Gec06</t>
  </si>
  <si>
    <t>Maximum limiting differential for supply humidity. When the supply humidity probe is active. Gec06.</t>
  </si>
  <si>
    <t>Diferencial para generar una consigna limite de secado al pasar por debajo de una consigna.  Si esta habilitado control por humedad. Gec10</t>
  </si>
  <si>
    <t xml:space="preserve">Differential to generate a drying set point limit when going below a set point.  If humidity control is enabled. Gec10 </t>
  </si>
  <si>
    <t>Consigna Limite Permiso Deshumectar. Gec10</t>
  </si>
  <si>
    <t>Limit dry setpoint. Gec10</t>
  </si>
  <si>
    <t>Diferencial de corte ventilador exterior Circuito 1</t>
  </si>
  <si>
    <t>External fan cut-off differential Circuit 1</t>
  </si>
  <si>
    <t>Mínima Velocidad Ventilador exterior Circuito 1</t>
  </si>
  <si>
    <t>Minimum Speed Outdoor fan Circuit 1</t>
  </si>
  <si>
    <t>Máxima Velocidad Ventilador exterior Circuito 1</t>
  </si>
  <si>
    <t>Maximum Outer Damper Opening</t>
  </si>
  <si>
    <t>Renovación Compuertas. Límite mínimo de humedad exterior. Gec20</t>
  </si>
  <si>
    <t>Renovation Dampers. Minimum exterior humidity limit. Gec20</t>
  </si>
  <si>
    <t>Renovación Compuertas. Límite máximo de humedad exterior. Gec20</t>
  </si>
  <si>
    <t>Renovation Dampers. Maximum exterior humidity limit. Gec20</t>
  </si>
  <si>
    <t>Diferencial Humedad Exterior en Renovación de compuertas por limíte de Humedad exterior. Gec20</t>
  </si>
  <si>
    <t>Outdoor Humidity Differential in renovation dampers by outdoor humidity limit. Gec20</t>
  </si>
  <si>
    <t>Renovación compuertas. Límites de temperatura de mezcla en modo verano. Gec21</t>
  </si>
  <si>
    <t>Renovation Dampers. Mixing temperature limits in summer mode. Gec21</t>
  </si>
  <si>
    <t>Renovación compuertas. Límites de temperatura de mezcla en modo invierno. Gec21</t>
  </si>
  <si>
    <t>Renovation Dampers. Mixing temperature limits in winter mode. Gec21</t>
  </si>
  <si>
    <t>Mixing temperature limit differential.
 Gec21</t>
  </si>
  <si>
    <t>Diferencial de limite de temperatura de mezcla. Gec21</t>
  </si>
  <si>
    <t>Diferencial de activación de zona neutra en renovación compuertas por incremento de temperatura de mezcla.Gec22</t>
  </si>
  <si>
    <t>Diferencial de desactivación de zona neutra en renovación compuertas por decremento de temperatura de mezcla.Gec22</t>
  </si>
  <si>
    <t>Neutral zone deactivation differential in damper renewal due to mixing temperature decrease.Gec22</t>
  </si>
  <si>
    <t>Neutral zone activation differential in damper renovation due to increase in mixing temperature.Gec22</t>
  </si>
  <si>
    <t>Consigna Temperatura Mínima por TH-TUNE</t>
  </si>
  <si>
    <t>Consigna Temperatura Máxima por TH-TUNE</t>
  </si>
  <si>
    <t>Upper limit of temperature setpoint value by TH-TUNE</t>
  </si>
  <si>
    <t>Lower limit of the temperature setpoint value by TH-TUNE</t>
  </si>
  <si>
    <t>EEV SuperHeating setpoint on driver, Chiller mode</t>
  </si>
  <si>
    <t>EEV Low SuperHeating threshold on driver, Chiller mode</t>
  </si>
  <si>
    <t>EEV Low evaporating temp. threshold on driver, Chiller mode</t>
  </si>
  <si>
    <t>EEV High evaporating temp. threshold on driver, Chiller mode</t>
  </si>
  <si>
    <t>EEV SuperHeating setpoint on driver, Heat mode</t>
  </si>
  <si>
    <t>EEV High evaporating temp. threshold on driver, Heat mode</t>
  </si>
  <si>
    <t>EEV SuperHeating setpoint on driver, Defrost mode</t>
  </si>
  <si>
    <t>EEV Low SuperHeating threshold on driver,  Defrost mode</t>
  </si>
  <si>
    <t>EEV Low evaporating temp. threshold on driver, Defrost mode</t>
  </si>
  <si>
    <t>EEV High evaporating temp. threshold on driver, Defrost mode</t>
  </si>
  <si>
    <t>EEV Low evaporating temp. threshold on driver, Heat mode</t>
  </si>
  <si>
    <t>EEV Low SuperHeating threshold on driver, heat mode</t>
  </si>
  <si>
    <t>Consigna Sobrecalentamiento Desescarche, VEE en driver</t>
  </si>
  <si>
    <t>Umbral Baja Sobrecalentamiento Desescarche, VEE en driver</t>
  </si>
  <si>
    <t>Umbral Baja Temperatura Evaporación Desescarche, VEE en driver</t>
  </si>
  <si>
    <t>Umbral Alta Temperatura Evaporación Desescarche, VEE en driver</t>
  </si>
  <si>
    <t>Umbral Alta Temperatura Evaporación Modo Frío, VEE en driver</t>
  </si>
  <si>
    <t>Umbral Baja Temperatura Evaporación Modo Frío, VEE en driver</t>
  </si>
  <si>
    <t>Umbral Baja Sobrecalentamiento Modo Frío, VEE en Driver</t>
  </si>
  <si>
    <t>Consigna Sobrecalentamiento Modo Calor, VEE en Driver</t>
  </si>
  <si>
    <t>Umbral Alta Temperatura Evaporación Modo Frío, VEE en Driver</t>
  </si>
  <si>
    <t>Umbral Baja Temperatura Evaporación Modo Frío, VEE en Driver</t>
  </si>
  <si>
    <t>Consigna Sobrecalentamiento Modo Frío, VEE en Driver</t>
  </si>
  <si>
    <t>Demanda de calidad del aire</t>
  </si>
  <si>
    <t xml:space="preserve"> Temperatura mostrada en pantalla THTune</t>
  </si>
  <si>
    <t xml:space="preserve"> Humedad mostradad en pantalla THTune</t>
  </si>
  <si>
    <t>Sonda Temperatura THTune 1</t>
  </si>
  <si>
    <t>Temperatura Descarga VEE en Driver</t>
  </si>
  <si>
    <t>Consigna Temperatura Descarga VEE en driver</t>
  </si>
  <si>
    <t xml:space="preserve"> EEV Temperature Discharge on Driver</t>
  </si>
  <si>
    <t xml:space="preserve"> EEV Setpoint discharge temperature on drive</t>
  </si>
  <si>
    <t>Temperatura ambiente Electrónica Ventiladore Retorno o Impulsión</t>
  </si>
  <si>
    <t>Pantalla E/S Temperatura Condensación Regulacion Auxiliar Habilitada</t>
  </si>
  <si>
    <t>Condensation Temperature I/O Display Auxiliary Regulation Enabled</t>
  </si>
  <si>
    <t>Overpressure air setpoint</t>
  </si>
  <si>
    <t>Sonda Sobrepresión de aire Hc23</t>
  </si>
  <si>
    <t>Consigna Sobrepresión de aire B07</t>
  </si>
  <si>
    <t>Diferencial Rampa Decreciente Sobrepresión Gec 24, control sobrepresion</t>
  </si>
  <si>
    <t xml:space="preserve">Diferencial Rampa Creciente Sobrepresión Gec24, control sobrepresion </t>
  </si>
  <si>
    <t>Apertura Inicial al Arrancar cuando se regula la sobrepresión  Gec24, control sobrepresión</t>
  </si>
  <si>
    <t>Zona Muerta Sobrepresión de aire Gec24, control sobrepresión</t>
  </si>
  <si>
    <t>Air overpressure probe, Hc23</t>
  </si>
  <si>
    <t>Dead Zone Air overpressure Gec24, overpressure control</t>
  </si>
  <si>
    <t>Initial Opening at Start-up when overpressure is regulated Gec24, overpressure control</t>
  </si>
  <si>
    <t xml:space="preserve">Differential Ramp Rising Overpressure Differential Gec24, overpressure control </t>
  </si>
  <si>
    <t>Differential Decreasing Ramp Overpressure Gec 24, overpressure control</t>
  </si>
  <si>
    <t>Diferencial PID Sobrepresión, control sobrepresion Gec24</t>
  </si>
  <si>
    <t>Differential PID Overpressure, overpressure control Gec24</t>
  </si>
  <si>
    <t>Valor Mínimo Sonda Sobrepresión, Hb45</t>
  </si>
  <si>
    <t>Valor Máximo Sonda Sobrepresión, Hb45</t>
  </si>
  <si>
    <t>Minimun value overpressure probe, Hb45</t>
  </si>
  <si>
    <t>Maximun value overpressure probe, Hb45</t>
  </si>
  <si>
    <t>Potencia Goteo en tiempos de desescarhces, Gec33</t>
  </si>
  <si>
    <t>Temperatura Evaporación circuito 2 proveniente de placa</t>
  </si>
  <si>
    <t>Temperatura Evaporación  circuito 1 proveniente de driver</t>
  </si>
  <si>
    <t>Presión Evaporación Válvula circuito 1 proveniente de driver</t>
  </si>
  <si>
    <t>Evaporating temperature of circuit 1 from driver</t>
  </si>
  <si>
    <t>Evaporating pressure Evaporating pressure Valve circuit 1 from driver</t>
  </si>
  <si>
    <t>Superheating of circuit 1 from driver</t>
  </si>
  <si>
    <t xml:space="preserve">Pressure Evaporation of circuit 2 from driver </t>
  </si>
  <si>
    <t>Recalentamiento del circuito 1 proveniente de placa</t>
  </si>
  <si>
    <t>Overheating of circuit 1 coming from the board</t>
  </si>
  <si>
    <t>Valve Opening Percentage Circuit 1 from the board</t>
  </si>
  <si>
    <t xml:space="preserve">Suction temperature Valve circuit 1 from driver </t>
  </si>
  <si>
    <t xml:space="preserve">Presion de Evaporación Circuito 1 proveniente de driver </t>
  </si>
  <si>
    <t xml:space="preserve">Temperatura evaporación Circuito 2 proveniente de driver </t>
  </si>
  <si>
    <t>Recalentamiento de circuito 2 proveniente de driver</t>
  </si>
  <si>
    <t xml:space="preserve">Temperatura de aspiración del circuito 2 proveniente de driver </t>
  </si>
  <si>
    <t xml:space="preserve">Suction temperature of circuit 2 coming from driver </t>
  </si>
  <si>
    <t>Circuit 2 overheating coming from driver</t>
  </si>
  <si>
    <t xml:space="preserve">Evaporating temperature Circuit 2 from driver </t>
  </si>
  <si>
    <t xml:space="preserve">Evaporating Pressure Circuit 1 coming from driver </t>
  </si>
  <si>
    <t xml:space="preserve">Temperatura Aspiración circuito 1 proveniente de placa </t>
  </si>
  <si>
    <t>Porcentaje Apertura Válvula Circuito 1 proveniente de placa</t>
  </si>
  <si>
    <t xml:space="preserve">Temperatura Aspiración Válvula circuito 1 proveniente de driver </t>
  </si>
  <si>
    <t xml:space="preserve">Recalentamiento del circuito 1 proveniente proveniente de driver </t>
  </si>
  <si>
    <t xml:space="preserve">Presión Evaporación del circuito 2 proveniente de driver </t>
  </si>
  <si>
    <t>Suction temperature circuit 1 coming from the board</t>
  </si>
  <si>
    <t>Presión Evaporación circuito 1 proveniente de placa</t>
  </si>
  <si>
    <t xml:space="preserve">Temperatura Aspiración circuio 2 proveniente de placa </t>
  </si>
  <si>
    <t>Suction temperature circuit 2 coming from the board</t>
  </si>
  <si>
    <t>Recalentamiento circuito 2 proveniente de placa</t>
  </si>
  <si>
    <t>Superheat circuit 2 coming from the board</t>
  </si>
  <si>
    <t>Presión Evaporación circuito 2 proveniente de placa</t>
  </si>
  <si>
    <t xml:space="preserve">Evaporation pressure circuit 2 coming from the board </t>
  </si>
  <si>
    <t>Evaporation temperature circuit 2 coming from the board</t>
  </si>
  <si>
    <t xml:space="preserve"> Temperatura de condensación del circuito de Recuperación, presion convertida a temperatura </t>
  </si>
  <si>
    <t xml:space="preserve"> Condensing temperature of the recovery circuit, pressure converted to temperature. </t>
  </si>
  <si>
    <t>Suction temperature circuit 1 coming from driver</t>
  </si>
  <si>
    <t xml:space="preserve">Temperatura Aspiración Circuito 1 proveniente del driver </t>
  </si>
  <si>
    <t>Umbral Mínimo Temperatura Evaporación circuito 1 en driver</t>
  </si>
  <si>
    <t xml:space="preserve">Umbral Máximo Temperatura Evaporación circuito 1 en driver </t>
  </si>
  <si>
    <t>Umbral Mínimo Temperatura Evaporación circuito 2 en driver</t>
  </si>
  <si>
    <t>Umbral Máximo Temperatura Evaporación - circuito 2 en driver</t>
  </si>
  <si>
    <t>Parametros PID Banda Proporcional circuito 1 Driver</t>
  </si>
  <si>
    <t>Consigna recalentamiento circuito 1 en driver</t>
  </si>
  <si>
    <t>Umbral Mínimo recalentamiento circuito 1 en driver</t>
  </si>
  <si>
    <t>Consigna recalentamiento circuito 2 en Driver</t>
  </si>
  <si>
    <t xml:space="preserve">Umbral Mínimo recalentamiento circuito 2 en driver </t>
  </si>
  <si>
    <t xml:space="preserve">Tiempo derivativo del PID, circuito 1 en driver </t>
  </si>
  <si>
    <t>PID Derivative Time - circuit 1 in driver</t>
  </si>
  <si>
    <t>Setpoint superheat  cicuit 2 in driver</t>
  </si>
  <si>
    <t>Low superheat thresold cicuit 2 in driver</t>
  </si>
  <si>
    <t>Threshold low evaporation temperature cicuit 2 in driver</t>
  </si>
  <si>
    <t>Threshold high evaporation temperature cicuit 2 in driver</t>
  </si>
  <si>
    <t xml:space="preserve">PID: proportional gain - circuit 1 in driver </t>
  </si>
  <si>
    <t xml:space="preserve">Parametros PID Banda Prop. Circuito 2 en driver </t>
  </si>
  <si>
    <t xml:space="preserve">Tiempo Derivativo Circuito 2 en driver </t>
  </si>
  <si>
    <t>Tiempo de Integracion para baja Temperatura Evaporación cicuito 1 en driver</t>
  </si>
  <si>
    <t>Tiempo de Integración para Maxima temperatua de evaporacion en circuito 1 driver</t>
  </si>
  <si>
    <t>Tiempo Integración del recalentamiento circuito 1 en driver</t>
  </si>
  <si>
    <t>Tiempo Integración del recalentamiento circuito 2 en driver</t>
  </si>
  <si>
    <t>Tiempo de Integracion para baja Temperatura Evaporación cicuito 2 en driver</t>
  </si>
  <si>
    <t>Tiempo de Integración para Maxima temperatua de evaporacion en circuito 2 driver</t>
  </si>
  <si>
    <t>PID: proportional gain - cicuit 2 in driver</t>
  </si>
  <si>
    <t>PID: derivative time - cicuit 2 in driver</t>
  </si>
  <si>
    <t>LOP: integral time low evaporation temperature - cicuit 2 in driver</t>
  </si>
  <si>
    <t>LowSH: integral time low superheat - cicuit 2 in driver</t>
  </si>
  <si>
    <t>MOP: integral time high evaporation temperature - cicuit 2 in driver</t>
  </si>
  <si>
    <t xml:space="preserve">LowSH: integral time - circuit 1 in driver </t>
  </si>
  <si>
    <t xml:space="preserve">LOP: integral time low temperature of evaporation -  circuit 1 in driver </t>
  </si>
  <si>
    <t xml:space="preserve">MOP: integral time temperature of evaporation - circuit 1 in driver </t>
  </si>
  <si>
    <t xml:space="preserve">Thresold high temperature evaporation -  circuit 1 in driver </t>
  </si>
  <si>
    <t>Threshold for low temperature of evaporation - circuit 1 in driver</t>
  </si>
  <si>
    <t>Threshold Minimum Overheating - circuit 1 in driver</t>
  </si>
  <si>
    <t xml:space="preserve">Setpoint superheat - circuit 1 in driver </t>
  </si>
  <si>
    <t>Umbral Alta temperatura Cond. del Circuito 1 en Driver</t>
  </si>
  <si>
    <t>Tiempo Integración Alta temperatura Cond. del Circuito 1 en Driver</t>
  </si>
  <si>
    <t>High condensing temperature: integral time - circuit 1 in driver</t>
  </si>
  <si>
    <t>High condensing temperature: thresold - circuit 1 in driver</t>
  </si>
  <si>
    <t>Diferencial regulación CO2</t>
  </si>
  <si>
    <t>Pasos de la VEE del circuito 1 en driver</t>
  </si>
  <si>
    <t>Steps of the EEV of circuit 1 in driver</t>
  </si>
  <si>
    <t>Estado en que se encuentra VEE en circuito 1 en driver</t>
  </si>
  <si>
    <t>Status of EEV  of circuit 1 in driver</t>
  </si>
  <si>
    <t>Pasos de la VEE en circuito 2 en driver</t>
  </si>
  <si>
    <t>EEV B steps of circuit 2 in driver</t>
  </si>
  <si>
    <t>EEV status of circuit 2 in driver</t>
  </si>
  <si>
    <t>Estado Válvula de Expansión en circuito 2 en driver</t>
  </si>
  <si>
    <t xml:space="preserve">Estado VEE circuito 2 en driver </t>
  </si>
  <si>
    <t>Estado VEE circuito 1 en driver</t>
  </si>
  <si>
    <t xml:space="preserve">Pasos VEE circuito 1 en driver </t>
  </si>
  <si>
    <t>steps of the EEV of circuit 1 in driver</t>
  </si>
  <si>
    <t>EEV status of  circuit 1 in driver</t>
  </si>
  <si>
    <t xml:space="preserve">Pasos VEE circuito 2 en driver </t>
  </si>
  <si>
    <t>steps of the EEV of circuit 2 in driver</t>
  </si>
  <si>
    <t>EEV status of  circuit 2 in driver</t>
  </si>
  <si>
    <t>Refrigeration capacity integer, if energy metering or Thermal is enabled</t>
  </si>
  <si>
    <t>Refrigeration capacity decimal , if energy metering or Thermal is enabled</t>
  </si>
  <si>
    <t>Sensible refrigeration capacity integer, if energy metering or Thermal is enabled</t>
  </si>
  <si>
    <t>Sensible refrigeration capacity decimal, if energy metering or Thermal is enabled</t>
  </si>
  <si>
    <t>Latent refrigeration capacity integer, if energy metering or Thermal is enabled</t>
  </si>
  <si>
    <t xml:space="preserve">Latent refrigeration capacity decimal, if energy metering or Thermal is enabled </t>
  </si>
  <si>
    <t>Coefficient of performance, if energy metering or Thermal is enabled</t>
  </si>
  <si>
    <t>Energy efficiency ratio, if energy metering or Thermal is enabled</t>
  </si>
  <si>
    <t>Apparent Energy L, if energy metering is enabled</t>
  </si>
  <si>
    <t>Apparent Energy M,  if energy metering is enabled</t>
  </si>
  <si>
    <t>Apparent Energy H,  if energy metering is enabled</t>
  </si>
  <si>
    <t>Energy L,  if energy metering is enabled</t>
  </si>
  <si>
    <t>Energy M,  if energy metering is enabled</t>
  </si>
  <si>
    <t>Energy H,  if energy metering is enabled</t>
  </si>
  <si>
    <t>Minimum fan flow factor,  if energy metering is enabled</t>
  </si>
  <si>
    <t>Energía Aparente L (Valor Usado En Máscara), , si esta habilitado el medido de energía</t>
  </si>
  <si>
    <t xml:space="preserve">Energía Aparente M (Valor Usado En Máscara), si esta habilitado el medido de energía </t>
  </si>
  <si>
    <t>Energía Aparente H (Valor Usado En Máscara), si esta habilitado el medido de energía</t>
  </si>
  <si>
    <t>Energía L (Valor Máscara), si esta habilitado el medido de energía</t>
  </si>
  <si>
    <t>Energía M (Valor Máscara), si esta habilitado el medido de energía</t>
  </si>
  <si>
    <t>Energía H (Valor Máscara), si esta habilitado el medido de energía</t>
  </si>
  <si>
    <t>Factor Mínimo Flujo Ventilador, si esta habilitado el medido de energía</t>
  </si>
  <si>
    <t>Potencia Frigorifica Parte Entera, si esta habilitado el medido de energía o Térmico</t>
  </si>
  <si>
    <t>Potencia Frigorifica Parte Decimal, , si esta habilitado el medido de energía o Térmico</t>
  </si>
  <si>
    <t>Potencia Frigorifica Sensible Parte Entera, si esta habilitado el medido de energía o Térmico</t>
  </si>
  <si>
    <t>Potencia Frigorifica Sensible Parte Decimal, si esta habilitado el medido de energía o Térmico</t>
  </si>
  <si>
    <t>Potencia Frigorifica Latente Parte Entera, si esta habilitado el medido de energía o Térmico</t>
  </si>
  <si>
    <t>Potencia Frigorifica Latente Parte Decimal , si esta habilitado el medido de energía o Térmico</t>
  </si>
  <si>
    <t>Coeficiente De Eficiencia De Calor, si esta habilitado el medido de energía o Térmico</t>
  </si>
  <si>
    <t>Coeficiente De Eficiencia De Frío, si esta habilitado el medido de energía o Térmico</t>
  </si>
  <si>
    <t>Evaporation preassure circuit 1 probe alarm  (0-No alarm 1-Alarm)</t>
  </si>
  <si>
    <t>Supply temperature 1 probe alarm  (0-No alarm 1-Alarm)</t>
  </si>
  <si>
    <t>Supply temperature probe Alarm  (0-No alarm 1-Alarm)</t>
  </si>
  <si>
    <t>Return / Ambient temperature Probe Alarm  (0-No alarm 1-Alarm)</t>
  </si>
  <si>
    <t>External temperature Probe Alarm  (0-No alarm 1-Alarm)</t>
  </si>
  <si>
    <t>Alarma Sonda Desconectada O Estropeada Presión Evaporación Circuito 2  (0-No alarma 1-Alarma)</t>
  </si>
  <si>
    <t>Alarma Sonda Presión Evaporación Circuito 1  (0-No alarma 1-Alarma)</t>
  </si>
  <si>
    <t>Alarma sonda Temperatura Descarga 1  (0-No alarma 1-Alarma)</t>
  </si>
  <si>
    <t>Alarma Sonda Temperatura Impulsión  (0-No alarma 1-Alarma)</t>
  </si>
  <si>
    <t>Alarma sonda Temperatura Retorno / Ambiente  (0-No alarma 1-Alarma)</t>
  </si>
  <si>
    <t>Alarma sonda Temperatura Exterior  (0-No alarma 1-Alarma)</t>
  </si>
  <si>
    <t>Alarma Sonda Presión Condensación Circuito 1  (0-No alarma 1-Alarma)</t>
  </si>
  <si>
    <t>Alarma Baja Presión Por Transductor  Circ Recup.</t>
  </si>
  <si>
    <t>Alarma Baja Presión Por Transductor  Circ3</t>
  </si>
  <si>
    <t xml:space="preserve"> Alarma  Baja Presión Por Transductor Circ2</t>
  </si>
  <si>
    <t>Alarma Baja Presión Por Transductor  Circ1</t>
  </si>
  <si>
    <t xml:space="preserve">Indica correcta comunicación entre Maestro y esclavo, si la pantallita pequeña que aparece cuando hay gestion global en la pgd parpadea significa que la comunicación es correcta </t>
  </si>
  <si>
    <t xml:space="preserve">Indicates correct communication between master and slave, if the small screen that appears when there is global management in the pgd flashes it means that the communication is correct. </t>
  </si>
  <si>
    <t>Alarmas superado limite de Horas Funcionamiento (0-No alarma; 1- alarma)</t>
  </si>
  <si>
    <t>Alarms exceeded operating hours (0-No alarm; 1- Alarm)</t>
  </si>
  <si>
    <t>Condensation pressure circuit 1 probe Alarm  (0-No alarm ;1-Alarm)</t>
  </si>
  <si>
    <t>Reinicio contador de Horas de funcionamiento (1 - SI; 0 - No)</t>
  </si>
  <si>
    <t>Reset Operating Hours counter (1 - YES; 0 - NO)</t>
  </si>
  <si>
    <t>Mixing temperature probe Alarm</t>
  </si>
  <si>
    <t>Save Schedules, allows you to save the time indicated in the time schedule.</t>
  </si>
  <si>
    <t>Estado Unidad (1: unidad On/ 0: unidad Off)</t>
  </si>
  <si>
    <t>Unit status (1- Unit On/0- Unit Off)</t>
  </si>
  <si>
    <t>Power limit 1, demand limitationcircuits with 1 to 6 compressors</t>
  </si>
  <si>
    <t>Power limit 2, demand limitation circuits with 1 to 6 compressors</t>
  </si>
  <si>
    <t>Power limit 3, demand limitation circuits with 1 to 6 compressors</t>
  </si>
  <si>
    <t>Power limit 4, demand limitation circuits with 1 to 6 compressors</t>
  </si>
  <si>
    <t>Power limit 5, demand limitation circuits with 1 to 6 compressors</t>
  </si>
  <si>
    <t>Power limit 6, demand limitation circuits with 1 to 6 compressors</t>
  </si>
  <si>
    <t>Recovery circuit low pressure pressostat alarm (0-No alarm; 1-Alarm)</t>
  </si>
  <si>
    <t>Recovery circuit overload compressor 1 alarm (0-No alarm; 1-Alarm)</t>
  </si>
  <si>
    <t>Low pressure pressostat alarm circuit 3 (0-No alarm; 1-Alarm)</t>
  </si>
  <si>
    <t>High pressure pressostat alarm circuit 3 (0-No alarm; 1-Alarm)</t>
  </si>
  <si>
    <t>Low pressure pressostat alarm circuit 2 (0-No alarm; 1-Alarm)</t>
  </si>
  <si>
    <t>Compressor 3 circuit 2 (0 - Not enable; 1- Enable)</t>
  </si>
  <si>
    <t>High pressure pressostat alarm circuit 2 (0-No alarm; 1-Alarm)</t>
  </si>
  <si>
    <t>Low pressure pressostat alarm circuit 1 (0-No alarm; 1-Alarm)</t>
  </si>
  <si>
    <t>High pressure pressostat alarm circuit 1 (0-No alarm; 1-Alarm)</t>
  </si>
  <si>
    <t>Compressor 3 circuit 1  (0 - Not enable; 1- Enable)</t>
  </si>
  <si>
    <t>Compressor 1 circuit 1 (0 - Not enable; 1- Enable)</t>
  </si>
  <si>
    <t>Compressor 2 circuit 1 (0 - Not enable; 1- Enable)</t>
  </si>
  <si>
    <t>Compressor 1 circuit 2 (0 - Not enable; 1- Enable)</t>
  </si>
  <si>
    <t>Compressor 2 circuit 2 (0 - Not enable; 1- Enable)</t>
  </si>
  <si>
    <t>Compresor 1 Circuito 1 (0-No habilitado ; 1- Habilitado)</t>
  </si>
  <si>
    <t xml:space="preserve"> Compresor 1 Circuito 2 (0-No habilitado ; 1- Habilitado)</t>
  </si>
  <si>
    <t>Compresor 2 Circuito 1 (0-No habilitado ; 1- Habilitado)</t>
  </si>
  <si>
    <t xml:space="preserve">  Compresor 2 Circuito 2 (0-No habilitado ; 1- Habilitado)</t>
  </si>
  <si>
    <t>Estado Invierno/ Verano (0-Invierno; 1- Verano</t>
  </si>
  <si>
    <t>Cooling / Heating status (0-Cooling; 1-Heating)</t>
  </si>
  <si>
    <t>Compressor 1 circuit 3  (0 - Not enable; 1- Enable)</t>
  </si>
  <si>
    <t>Compressor 2 circuit 3  (0 - Not enable; 1- Enable)</t>
  </si>
  <si>
    <t>Compressor 1 recovery circuit  (0 - Not enable; 1- Enable)</t>
  </si>
  <si>
    <t>Compresor 1 Circuito 3 (0-No habilitado ; 1- Habilitado)</t>
  </si>
  <si>
    <t>Compresor 2 Circuito 3 (0-No habilitado ; 1- Habilitado)</t>
  </si>
  <si>
    <t xml:space="preserve"> Compresor 1 Circuito Recuperación (0-No habilitado ; 1- Habilitado)</t>
  </si>
  <si>
    <t>Compresor 3 Circuito 3 (0-No habilitado ; 1- Habilitado)</t>
  </si>
  <si>
    <t>Compressor 3 circuit 3 (0 - Not enable; 1- Enable)</t>
  </si>
  <si>
    <t xml:space="preserve">Battery anti-freeze alarm </t>
  </si>
  <si>
    <t>Compresor 3 Circuito 1 (0-No habilitado ; 1- Habilitado)</t>
  </si>
  <si>
    <t>Alarma sonda Temperatura Mezcla (0-No alarma; 1-Alarma)</t>
  </si>
  <si>
    <t xml:space="preserve">Grabar Horarios, permite guardar el horario indicado en programación horaria </t>
  </si>
  <si>
    <t>Alarma Anti-hielo de bateria  (0-No alarma; 1-Alarma)</t>
  </si>
  <si>
    <t>Estado Alarma Térmico Compresor 1 Circ. Recuperación (0-No alarma; 1-Alarma)</t>
  </si>
  <si>
    <t>Estado Alarma Presostato De Baja Circ. Recuperación (0-No alarma; 1-Alarma)</t>
  </si>
  <si>
    <t>Alarma Presostato De Baja C3 (0-No alarma; 1-Alarma)</t>
  </si>
  <si>
    <t>Alarma Presostato De Alta C3 (0-No alarma; 1-Alarma)</t>
  </si>
  <si>
    <t>Compresor 3 Circuito 2 (0-No alarma; 1-Alarma)</t>
  </si>
  <si>
    <t>Alarma Presostato De Baja C2 (0-No alarma; 1-Alarma)</t>
  </si>
  <si>
    <t>Alarma Presostato De Alta C2 (0-No alarma; 1-Alarma)</t>
  </si>
  <si>
    <t>Alarma Presostato De Baja C1 (0-No alarma; 1-Alarma)</t>
  </si>
  <si>
    <t>Alarma Presostato De Alta C1 (0-No alarma; 1-Alarma)</t>
  </si>
  <si>
    <t>Estado Invierno / Verano Desde Maestro Rotacion (Cuando tenemos una Maestra y una Rotacion)</t>
  </si>
  <si>
    <t>Paro / Marcha Desde Maestra De Rotación  (Cuando tenemos una Maestra y una Rotacion)</t>
  </si>
  <si>
    <t>Paro / marcha desde maestra de rotación  (Cuando tenemos una Maestra y una Rotacion)</t>
  </si>
  <si>
    <t>Cooling / Heating status rotation  (Cuando tenemos una Maestra y una Rotacion)</t>
  </si>
  <si>
    <t>Octavo Limite De Potencia  limitacion de la demanda circuitos de 1 hasta 9 compresores</t>
  </si>
  <si>
    <t>Noveno Limite De Potencia  limitacion de la demanda circuitos de 1 hasta 9 compresores</t>
  </si>
  <si>
    <t>Séptimo Limite De Potencia, limitacion de la demanda circuitos de 1  hasta 9 compresores</t>
  </si>
  <si>
    <t>Sexto Limite De Potencia, limitacion de la demanda circuitos de 1 hasta 9 compresores</t>
  </si>
  <si>
    <t>Quinto Limite De Potencia ,limitacion de la demanda, circuitos de 1 hasta 9 compresores</t>
  </si>
  <si>
    <t>Cuarto Limite De Potencia, limitacion de la demanda circuitos de 1 hasta 9 compresores</t>
  </si>
  <si>
    <t>Tercer Limite De Potencia, limitacion de la demanda circuitos de 1 hasta 9  compresores</t>
  </si>
  <si>
    <t>Segundo Limite De Potencia, limitacion de la demanda circuitos de 1 hasta 9 compresores</t>
  </si>
  <si>
    <t>Primer Limite De Potencia, limitacion de la demanda circuitos de 1 hasta 9  compresores</t>
  </si>
  <si>
    <t>Habilita Global Humedad (Cuando hay maestro y esclavo )</t>
  </si>
  <si>
    <t xml:space="preserve">Permiso Secar Humedad, habilitar deshumectación </t>
  </si>
  <si>
    <t>Enable global humidity (When there are master and slave )</t>
  </si>
  <si>
    <t xml:space="preserve">Humidity dry permission, enable dehumidification </t>
  </si>
  <si>
    <t xml:space="preserve">Alarma intensidad máxima superada, con medidor de energía </t>
  </si>
  <si>
    <t xml:space="preserve">Alarma potencia máxima superada,  con medidor de energía </t>
  </si>
  <si>
    <t>Maximun current limit alarm with energy meter</t>
  </si>
  <si>
    <t>Maximun power limit alarm with energy meter</t>
  </si>
  <si>
    <t>Nivel(Cliente/Fabricante)</t>
  </si>
  <si>
    <t>Cliente</t>
  </si>
  <si>
    <t xml:space="preserve">Fabricante </t>
  </si>
  <si>
    <t>Fabricante</t>
  </si>
  <si>
    <t>Voltaje L1-L2 with energy meter</t>
  </si>
  <si>
    <t>Voltaje L2-L3 with energy meter</t>
  </si>
  <si>
    <t>Voltaje L3-L1 with energy meter</t>
  </si>
  <si>
    <t>Voltaje medio with energy meter</t>
  </si>
  <si>
    <t>Voltaje V-L with energy meter</t>
  </si>
  <si>
    <t>Voltaje 1 with energy meter</t>
  </si>
  <si>
    <t>Voltaje 2 with energy meter</t>
  </si>
  <si>
    <t>Voltaje 3 with energy meter</t>
  </si>
  <si>
    <t>Voltaje V-N with energy meter</t>
  </si>
  <si>
    <t>Voltaje L1-L2 con medidor de energía</t>
  </si>
  <si>
    <t>Voltaje L2-L3 con medidor de energía</t>
  </si>
  <si>
    <t>Voltaje L3-L1con medidor de energía</t>
  </si>
  <si>
    <t>Voltaje V-L con medidor de energía</t>
  </si>
  <si>
    <t>Voltaje 1 con medidor de energía</t>
  </si>
  <si>
    <t>Voltaje 2 con medidor de energía</t>
  </si>
  <si>
    <t>Voltaje 3 con medidor de energía</t>
  </si>
  <si>
    <t>Voltaje V-N con medidor de energía</t>
  </si>
  <si>
    <t>EDV_1.I4_EEV_POSITION_STEPS</t>
  </si>
  <si>
    <t>mask</t>
  </si>
  <si>
    <t>Driping power in defrost time</t>
  </si>
  <si>
    <t>Gec33</t>
  </si>
  <si>
    <t>Status 1, array</t>
  </si>
  <si>
    <t>Estados 2, array</t>
  </si>
  <si>
    <t>Status 2 array</t>
  </si>
  <si>
    <t>Estados 1 , array (+)</t>
  </si>
  <si>
    <t>Valor del estado de los compresores</t>
  </si>
  <si>
    <t>value</t>
  </si>
  <si>
    <t>minimum Time ON/OFF comp1 circ.1</t>
  </si>
  <si>
    <t>minimum Time ON/OFF comp1 circ.2</t>
  </si>
  <si>
    <t>minimum Time ON/OFF comp1 circ.3</t>
  </si>
  <si>
    <t>minimum Time ON/OFF comp2 circ.1</t>
  </si>
  <si>
    <t>minimum Time ON/OFF comp2 circ.2</t>
  </si>
  <si>
    <t>minimum Time ON/OFF comp2 circ.3</t>
  </si>
  <si>
    <t>minimum Time ON/OFF recovery comp.</t>
  </si>
  <si>
    <t xml:space="preserve">Description </t>
  </si>
  <si>
    <t>Status defrost circ1 (0: off; 1: On)</t>
  </si>
  <si>
    <t>Status Comp1 circ1 (0: off; 1: On)</t>
  </si>
  <si>
    <t>Status Comp2 circ1 (0: off; 1: On)</t>
  </si>
  <si>
    <t>Status Comp1 circ2 (0: off; 1: On)</t>
  </si>
  <si>
    <t>Status Comp2 circ2 (0: off; 1: On)</t>
  </si>
  <si>
    <t>Status Comp1 circ3 (0: off; 1: On)</t>
  </si>
  <si>
    <t>Status Comp2 circ3 (0: off; 1: On)</t>
  </si>
  <si>
    <t>Status recovery compressor (0: off; 1: On)</t>
  </si>
  <si>
    <t>El parpadeo del numero de compresor en el circuito cuando va a entrar el compresor a funcionar pantalla  pantalla main 3</t>
  </si>
  <si>
    <t>Status Comp3 circ1 (0: off; 1: On)</t>
  </si>
  <si>
    <t>Status Comp3 circ2 (0: off; 1: On)</t>
  </si>
  <si>
    <t>Status defrost circ2 (0: off; 1: On)</t>
  </si>
  <si>
    <t>Status defrost circ3 (0: off; 1: On)</t>
  </si>
  <si>
    <t>Status defrost recovery compressor (0: off; 1: On)</t>
  </si>
  <si>
    <t>Enable alarm level condensation (0: off; 1: On)</t>
  </si>
  <si>
    <t xml:space="preserve">ID_alarm  level condensation </t>
  </si>
  <si>
    <t>Active separate volume (0: off; 1: On)</t>
  </si>
  <si>
    <t>Enable compressor 1 recovery circuit (0: off; 1: On)</t>
  </si>
  <si>
    <t>minimum Time ON/OFF comp3 circ.1 (0: off; 1: On)</t>
  </si>
  <si>
    <t>minimum Time ON/OFF comp3 circ.2 (0: off; 1: On)</t>
  </si>
  <si>
    <t>minimum Time ON/OFF comp3 circ.3 (0: off; 1: On)</t>
  </si>
  <si>
    <t>Mask</t>
  </si>
  <si>
    <t xml:space="preserve">Limite máximo de Temperatura exterior para apertura compuertas de renovación </t>
  </si>
  <si>
    <t>Gec20</t>
  </si>
  <si>
    <t xml:space="preserve">Limite mínimo de Temperatura exterior para apertura compuertas de renovación </t>
  </si>
  <si>
    <t xml:space="preserve">Maximum outdoor temperature limit for opening of renovation dampers </t>
  </si>
  <si>
    <t>Minimum outdoor temperature limit for opening of renovation dampers</t>
  </si>
  <si>
    <t>Gec21</t>
  </si>
  <si>
    <t>Gec22</t>
  </si>
  <si>
    <t>EDV_1.A5_SH_SUCT_TEMP_msk</t>
  </si>
  <si>
    <t>EDV_1.A69_SH_SUCT_TEMP_2ND</t>
  </si>
  <si>
    <t>EDV_1.A66_EEV_POS_PERCENT_2ND_SHOW</t>
  </si>
  <si>
    <t>EDV_1.A70_SH_EVAP_TEMP_2ND_msk</t>
  </si>
  <si>
    <t>EDV_1.A71_SH_EVAP_PRES_2ND_msk</t>
  </si>
  <si>
    <t>EDV_1.A10_SH_SH_msk</t>
  </si>
  <si>
    <t>EDV_1.A7_SH_EVAP_PRES_msk</t>
  </si>
  <si>
    <t>EDV_1.A6_SH_EVAP_TEMP_msk</t>
  </si>
  <si>
    <t>EDV_1.A68_SH_SH_2ND</t>
  </si>
  <si>
    <t>EDV_1.A68_SH_SH_2ND_msk</t>
  </si>
  <si>
    <t>EDV_1.A69_SH_SUCT_TEMP_2ND_msk</t>
  </si>
  <si>
    <t>EDV_2.A7_SH_EVAP_PRES_msk</t>
  </si>
  <si>
    <t>EDV_2.A6_SH_EVAP_TEMP_msk</t>
  </si>
  <si>
    <t xml:space="preserve">Evaporation pressure circuit 1 coming from the board </t>
  </si>
  <si>
    <t>Evaporation temperature of circuit 2 coming from driver</t>
  </si>
  <si>
    <t>Porcentaje Apertura Válvula Circuito 2 proveniente de driver</t>
  </si>
  <si>
    <t>Valve Opening Percentage Circuit 2 from driver</t>
  </si>
  <si>
    <t>EDV_2.A68_SH_SH_2ND_msk</t>
  </si>
  <si>
    <t>Recalentamiento del circuito 4 proveniente de driver</t>
  </si>
  <si>
    <t>Superheat - circuit 4 from driver</t>
  </si>
  <si>
    <t>EDV_2.A1_S1_VALUE_msk</t>
  </si>
  <si>
    <t>EDV_2.A2_S2_VALUE_msk</t>
  </si>
  <si>
    <t>EDV_2. A4_S4_VALUE_msk</t>
  </si>
  <si>
    <t>EDV_2.A3_S3_VALUE_msk</t>
  </si>
  <si>
    <t>EDV_2.A35_S3_VALUE_OFFSET_msk</t>
  </si>
  <si>
    <t>EDV_2.A41_S2_VALUE_OFFSET_msk</t>
  </si>
  <si>
    <t>EDV_2.A34_S1_VALUE_OFFSET_msk</t>
  </si>
  <si>
    <t>EDV_2.A42_S4_VALUE_OFFSET_msk</t>
  </si>
  <si>
    <t>Valor de la sonda 1 proveniente de driver</t>
  </si>
  <si>
    <t>Valor de la sonda 2 proveniente de driver</t>
  </si>
  <si>
    <t xml:space="preserve">Valor Sonda 4 proveniente de driver </t>
  </si>
  <si>
    <t>Valor sonda 3 proveniente de driver</t>
  </si>
  <si>
    <t xml:space="preserve">Valor diferencial  sonda 4 proveniente driver </t>
  </si>
  <si>
    <t>Valor diferencial sonda 3 proveniente de driver</t>
  </si>
  <si>
    <t>Valor del diferenical de la sonda 1 proveniente de driver</t>
  </si>
  <si>
    <t>value of probe 1 coming from driver</t>
  </si>
  <si>
    <t>probe 1 offset value from driver</t>
  </si>
  <si>
    <t>probe 2 offset value from driver</t>
  </si>
  <si>
    <t>probe 3 offset value from driver</t>
  </si>
  <si>
    <t>value of probe 3 coming from driver</t>
  </si>
  <si>
    <t>probe 4 offset value from driver</t>
  </si>
  <si>
    <t>value of probe 4 coming from driver</t>
  </si>
  <si>
    <t>Memoria de la alarma por detector de Humo/Fuego (0-No alarma; 1- Alarma)</t>
  </si>
  <si>
    <t>Smoke/Fire detector alarm memory (0-No alarm; 1- Alarm)</t>
  </si>
  <si>
    <t>Alarma Ventilador Ebm de impulsión  (0-No alarma; 1- Alarma)</t>
  </si>
  <si>
    <t>Supply Ebm Fan Alarm (0-No Alarm; 1- Alarm)</t>
  </si>
  <si>
    <t>Alarma Ventilador impulsión offline EBM (0-No alarma; 1- Alarma)</t>
  </si>
  <si>
    <t>Suply Fan offline alarm EBM (0-No alarm; 1- Alarm)</t>
  </si>
  <si>
    <t>Nivel (Cliente/Fabricante</t>
  </si>
  <si>
    <t>Alarma Ventilador Retorno Ebm (0-No alarma; 1- Alarma)</t>
  </si>
  <si>
    <t>EBM return fan alarm (0-No alarm; 1- Alarm)</t>
  </si>
  <si>
    <t>Alarma Ventilador Retorno Ebm  offline (0-No alarma; 1- Alarma)</t>
  </si>
  <si>
    <t>Ebm return fan alarm offline (0-No alarm; 1-Alarm)</t>
  </si>
  <si>
    <t>Habilitar la opción de placa maestra, desde PGD (Cuando hay maestro y esclavo)</t>
  </si>
  <si>
    <t>Enable master board option, from PGD (When master and slave)</t>
  </si>
  <si>
    <t>Alarma presente en ventilador Retorno Nicotra (0-No alarma 1-Alarma)</t>
  </si>
  <si>
    <t>Alarm present on fan Nicotra Return (0-No alarm 1-Alarm)</t>
  </si>
  <si>
    <t xml:space="preserve">Alarma: Offline ventilador Retorno Nicotra (0-No alarma 1-Alarma) </t>
  </si>
  <si>
    <t xml:space="preserve">Alarma: Offline ventilador Impulsion Nicotra (0-No alarma 1-Alarma) </t>
  </si>
  <si>
    <t xml:space="preserve">Alarm: Offline Nicotra Supply Fan (0-No Alarm 1-Alarm) </t>
  </si>
  <si>
    <t xml:space="preserve">Alarm: Offline Nicotra Return Fan (0-No Alarm 1-Alarm) </t>
  </si>
  <si>
    <t xml:space="preserve">Alarma en Ventilador Impulsion Nicotra (0-No alarma 1-Alarma) </t>
  </si>
  <si>
    <t xml:space="preserve">Nicotra Supply Fan Alarm (0-No Alarm 1-Alarm) </t>
  </si>
  <si>
    <t>Habilitar Cambio Horario (0-Deshabilitado; 1- Habilitado)</t>
  </si>
  <si>
    <t>Enabling the Time Shift Enable (0-Disabled; 1- Enabled)</t>
  </si>
  <si>
    <t>Alarma Ventilador Impulsión aviso Fallo Estado (0-No Alarma; 1- Alarma)</t>
  </si>
  <si>
    <t>Suply Fan Alarm Warning Fault Status (0-No Alarm; 1- Alarm)</t>
  </si>
  <si>
    <t>Aviso de Ventilador EBM (0-No aviso; 1- Aviso)</t>
  </si>
  <si>
    <t>EBM Fan Warning (0-No warning; 1- Warning)</t>
  </si>
  <si>
    <t>Alarma por No comunicación con la Placa Maestra   (0-No Alarma; 1- Alarma)</t>
  </si>
  <si>
    <t>Alarm for No Communication with Master Board (0-No Alarm; 1- Alarm)</t>
  </si>
  <si>
    <t>Alarma de posible fuga de Refrigerante Circuito 1 (0-No Alarma; 1- Alarma)</t>
  </si>
  <si>
    <t>Alarma de posible fuga de Refrigerante Circuito 2 (0-No Alarma; 1- Alarma)</t>
  </si>
  <si>
    <t>Alarma de posible fuga de Refrigerante Circuito 3 (0-No Alarma; 1- Alarma)</t>
  </si>
  <si>
    <t>Alarma de posible fuga de Refrigerante Circuito Recuperacion  (0-No Alarma; 1- Alarma)</t>
  </si>
  <si>
    <t>Possible Refrigerant Leak in Recovery Circuit Alarm (0-No Alarm; 1- Alarm)</t>
  </si>
  <si>
    <t>Possible Refrigerant Leakage Alarm Circuit 3 (0-No Alarm; 1- Alarm)</t>
  </si>
  <si>
    <t>Possible Refrigerant Leakage Alarm Circuit 1 (0-No Alarm; 1- Alarm)</t>
  </si>
  <si>
    <t>Possible Refrigerant Leakage Alarm Circuit 2 (0-No Alarm; 1- Alarm)</t>
  </si>
  <si>
    <t>uPC  Address</t>
  </si>
  <si>
    <t>Valor del diferencial de la sonda 1 proveniente de driver</t>
  </si>
  <si>
    <t>Temperatura Exterior Finaliza la Reduccion nº Compresores. Ha19</t>
  </si>
  <si>
    <t>cliente</t>
  </si>
  <si>
    <t>Gec10</t>
  </si>
  <si>
    <t>Gec06</t>
  </si>
  <si>
    <t>Habilitar control sobrepresión (0- Deshabilitado; 1- Habilitado)</t>
  </si>
  <si>
    <t>Enable overpressure control (0- Disabled; 1- Enabled)</t>
  </si>
  <si>
    <t>Tipo control sobrepresión (0- Control PID;1-  Control por Rampas y tiempo)</t>
  </si>
  <si>
    <t>Overpressure control type (0- PID control;1- Ramp and time control)</t>
  </si>
  <si>
    <t xml:space="preserve"> alarma presente ventilador Zhiel-Abegg </t>
  </si>
  <si>
    <t xml:space="preserve"> alarm is present for the Zhiel-Abegg fan</t>
  </si>
  <si>
    <t>Alarm is present for the Zhiel-Abegg fan</t>
  </si>
  <si>
    <t xml:space="preserve">Alarma presente ventilador Zhiel-Abegg </t>
  </si>
  <si>
    <t>Alarm is present in the Zhiel-Abegg fan</t>
  </si>
  <si>
    <t xml:space="preserve"> Alarm is present for the Zhiel-Abegg fan</t>
  </si>
  <si>
    <t>EDV_1.D14_DIGIN1_STATUS_msk</t>
  </si>
  <si>
    <t>EDV_1.D15_DIGIN2_STATUS_msk</t>
  </si>
  <si>
    <t xml:space="preserve">DI1 estado proveniente Driver </t>
  </si>
  <si>
    <t xml:space="preserve">DI2 estado proveniente Driver </t>
  </si>
  <si>
    <t xml:space="preserve">DI1 status from Driver </t>
  </si>
  <si>
    <t xml:space="preserve">DI2 status from Driver </t>
  </si>
  <si>
    <t>Alarma descarga batería Driver</t>
  </si>
  <si>
    <t>Discharge battery alarm from driver</t>
  </si>
  <si>
    <t>EDV_1.D26_LOW_SH_ALARM_2ND_ui</t>
  </si>
  <si>
    <t>LowSH alarma circuito 2 en driver</t>
  </si>
  <si>
    <t>Baja temperatura aspiración alarma circuito 2 en driver</t>
  </si>
  <si>
    <t>MOP alarma circuito 2 en driver</t>
  </si>
  <si>
    <t>EEV error motor circuito 2 en driver</t>
  </si>
  <si>
    <t>Alarmas regulación circuito 2 en driver</t>
  </si>
  <si>
    <t>Alta temperatura aspiración alarma circuito 1 en driver</t>
  </si>
  <si>
    <t>Baja temperatura aspiración alarma circuito 1 en driver</t>
  </si>
  <si>
    <t>LowSH alarma circuito 1 en driver</t>
  </si>
  <si>
    <t>LOP alarma circuito 1 en driver</t>
  </si>
  <si>
    <t>EEV error motor circuito 1 en driver</t>
  </si>
  <si>
    <t>Alarmas regulación circuito 1 en driver</t>
  </si>
  <si>
    <t>Regulation alarms circuit 1 en driver</t>
  </si>
  <si>
    <t>EDV_1.OR_Reg_Alarms_Vlv_A</t>
  </si>
  <si>
    <t>EDV_1.D8_EEV_ALARM_ui</t>
  </si>
  <si>
    <t>EDV_1.D10_LOP_ALARM_ui</t>
  </si>
  <si>
    <t>EDV_1.D12_LOW_SH_ALARM_ui</t>
  </si>
  <si>
    <t>EDV_1.D1_LOW_SUCT_ALARM_ui</t>
  </si>
  <si>
    <t>EDV_1.D13_HITCOND_ALARM_ui</t>
  </si>
  <si>
    <t>EDV_1.OR_Reg_Alarms_Vlv_B</t>
  </si>
  <si>
    <t>EDV_1.D30_EEV_ALARM_2ND_ui</t>
  </si>
  <si>
    <t>EDV_1.D28_MOP_ALARM_2ND_ui</t>
  </si>
  <si>
    <t>EDV_1.D29_LOW_SUCT_ALARM_2ND_ui</t>
  </si>
  <si>
    <t>EDV_1.OR_System_Alarms</t>
  </si>
  <si>
    <t>Alarmas sistema en driver</t>
  </si>
  <si>
    <t>System alarms from driver</t>
  </si>
  <si>
    <t>MOP alarm - circuit 2 from driver</t>
  </si>
  <si>
    <t>EEV motor error -circuit 2 from driver</t>
  </si>
  <si>
    <t>Regulation alarms circuit 2 from driver</t>
  </si>
  <si>
    <t>High suction temperature alarm - circuit 1 from driver</t>
  </si>
  <si>
    <t>EEV motor error - circuit 1 from driver</t>
  </si>
  <si>
    <t>LOP alarm - circuit 1 from driver</t>
  </si>
  <si>
    <t>LowSH (low super heat) alarm - circuit 1 from driver</t>
  </si>
  <si>
    <t>Low suction temperature alarm - circuit 1 from driver</t>
  </si>
  <si>
    <t>EDV_1.D4_S1_Alarm_ui</t>
  </si>
  <si>
    <t>EDV_1.D5_S2_Alarm_ui</t>
  </si>
  <si>
    <t>EDV_1.D6_S3_Alarm_ui</t>
  </si>
  <si>
    <t>EDV_1.D7_S4_Alarm_ui</t>
  </si>
  <si>
    <t>EDV_1.D25_BATTERY_ALARM_ui</t>
  </si>
  <si>
    <t>EDV_1.EVD_Al_Offline_ui</t>
  </si>
  <si>
    <t xml:space="preserve">EVD offline alarma </t>
  </si>
  <si>
    <t>Alarma sonda S1 en driver</t>
  </si>
  <si>
    <t>Alarma sonda S2 en driver</t>
  </si>
  <si>
    <t>Alarma sonda S3 en driver</t>
  </si>
  <si>
    <t>Alarma sonda S4 en driver</t>
  </si>
  <si>
    <t>Alarm probe S1 from driver</t>
  </si>
  <si>
    <t>Alarm probe S2 from driver</t>
  </si>
  <si>
    <t>Alarm probe S3 from driver</t>
  </si>
  <si>
    <t>Alarm probe S4 from driver</t>
  </si>
  <si>
    <t>LowSH (low super heat) alarm - circuit 2 from driver</t>
  </si>
  <si>
    <t>Low suction temperature alarm - circuit 2 from driver</t>
  </si>
  <si>
    <t>Frabricante</t>
  </si>
  <si>
    <t>EDV_2.D11_MOP_ALARM_ui</t>
  </si>
  <si>
    <t>EDV_2.D27_LOP_ALARM_2ND_ui</t>
  </si>
  <si>
    <t>CPCOE.Or_Probe_Alarms</t>
  </si>
  <si>
    <t>Alarma sonda procedente del modulo de expansion</t>
  </si>
  <si>
    <t>Probe alarm coming from the expansion module</t>
  </si>
  <si>
    <t xml:space="preserve">Alarma sondas seriales desconectadas (0-No Alarma; 1- Alarma) </t>
  </si>
  <si>
    <t xml:space="preserve">Serial probes disconnected alarm (0-No Alarm; 1- Alarm) </t>
  </si>
  <si>
    <t>MOP alarma - cricuito 3 en driver</t>
  </si>
  <si>
    <t>LOP alarma - circuito 4 en driver</t>
  </si>
  <si>
    <t>LOP alarm - circuit 4 in driver</t>
  </si>
  <si>
    <t>MOP alarm - circuit 3  in driver</t>
  </si>
  <si>
    <t>Alarmas sobrecalentamiento bajo en placa</t>
  </si>
  <si>
    <t>LowSH alarma - circuito 1 en placa</t>
  </si>
  <si>
    <t>LowSH alarma - circuito 2 en placa</t>
  </si>
  <si>
    <t>Alarmas LOP en placa</t>
  </si>
  <si>
    <t>LOP alarms onboard</t>
  </si>
  <si>
    <t>Alarma por Baja Tempera de Evaporación - circuito 1 en placa</t>
  </si>
  <si>
    <t>Alarma por Baja Tempera de Evaporación - circuito 2 en placa</t>
  </si>
  <si>
    <t>Alarmas MOP en placca</t>
  </si>
  <si>
    <t>MOP alarma - circuito 1 en placa</t>
  </si>
  <si>
    <t>MOP alarma - circuito 2 en placa</t>
  </si>
  <si>
    <t>Alta temperatura condensación en placa</t>
  </si>
  <si>
    <t>Alarmas baja temperatura aspiración en placa</t>
  </si>
  <si>
    <t>Baja temperatura aspiración alarma -circuito 1 en placa</t>
  </si>
  <si>
    <t>Baja temperatura aspiración alarma - circuito 2 en placa</t>
  </si>
  <si>
    <t>Low Evaporation Temperature Alarm - circuit 1 on board</t>
  </si>
  <si>
    <t>Low Evaporation Temperature Alarm - circuit 2 on board</t>
  </si>
  <si>
    <t>MOP alarm - circuit 1 on board</t>
  </si>
  <si>
    <t>MOP alarm - circuit 2 on board</t>
  </si>
  <si>
    <t>LowSH (low super heat) alarm -  circuit 2 on board</t>
  </si>
  <si>
    <t>LowSH (low super heat) alarm -circuit 1 on board</t>
  </si>
  <si>
    <t>Low superheating alarms on board</t>
  </si>
  <si>
    <t>High condensation temperature on board</t>
  </si>
  <si>
    <t>Low suction temperatures alarms on board</t>
  </si>
  <si>
    <t>Low temperature suction alarm -circuit 1 on board</t>
  </si>
  <si>
    <t>Low temperature suction alarm - circuit 2 on board</t>
  </si>
  <si>
    <t>Self-tuning alarma - circuito 1 en placa</t>
  </si>
  <si>
    <t>Self-tuning alarma -circuito 2 en placa</t>
  </si>
  <si>
    <t>Memory alarm - Self-tuning alarm circuit 2 on board</t>
  </si>
  <si>
    <t>Memory alarm - Self-tuning alarm circuit 1 on board</t>
  </si>
  <si>
    <t>Corriente ventilador EBM circuito 2 [A]</t>
  </si>
  <si>
    <t>Velocidad ventilador EBM circuito 2 [rpm]</t>
  </si>
  <si>
    <t>Voltaje ventilador EBM circuito 2</t>
  </si>
  <si>
    <t>Temperatura circuito interno ventilador EBM circuito 2</t>
  </si>
  <si>
    <t>Warning ventilador EBM circuito 2</t>
  </si>
  <si>
    <t>Código alarma ventilador EBM circuito 2</t>
  </si>
  <si>
    <t>Código alarma ventilador EBM circuito 1</t>
  </si>
  <si>
    <t>Velocidad ventilador EBM circuito 3 [rpm]</t>
  </si>
  <si>
    <t>Potencia ventilador EBM circuito 3  [W]</t>
  </si>
  <si>
    <t>Corriente ventilador EBM circuito 3  [A]</t>
  </si>
  <si>
    <t xml:space="preserve">Voltaje ventilador EBM circuito 3 </t>
  </si>
  <si>
    <t xml:space="preserve">Temperatura circuito interno ventilador EBM circuito 3 </t>
  </si>
  <si>
    <t xml:space="preserve">Warning ventilador EBM circuito 3 </t>
  </si>
  <si>
    <t xml:space="preserve">Código alarma ventilador EBM circuito 3 </t>
  </si>
  <si>
    <t>Current speed in [rpm] of the fan for Ebmpapst fan Circuit 2</t>
  </si>
  <si>
    <t>Current power in [W] for Ebmpapst fan circuit 2</t>
  </si>
  <si>
    <t>DC link amperage in [A] for Ebmpapst fan circuit  2</t>
  </si>
  <si>
    <t>DC link voltage for Ebmpapst fan circuit 2</t>
  </si>
  <si>
    <t>Internal circuit temperature for Ebmpapst fan circuit 2</t>
  </si>
  <si>
    <t>Warning code for Ebmpaps fan circuit 2</t>
  </si>
  <si>
    <t>Alarm code for Ebmpaps fan circuit 2</t>
  </si>
  <si>
    <t>Alarm code for Ebmpaps fan circuit 1</t>
  </si>
  <si>
    <t>Current speed in [rpm] of the fan for Ebmpapst fan circuit 3</t>
  </si>
  <si>
    <t>Current power in [W] for Ebmpapst fan circuit 3</t>
  </si>
  <si>
    <t>DC link amperage in [A] for Ebmpapst fan circuit 3</t>
  </si>
  <si>
    <t>DC link voltage for Ebmpapst fan circuit 3</t>
  </si>
  <si>
    <t>Internal circuit temperature for Ebmpapst fan circuit 3</t>
  </si>
  <si>
    <t>Warning code for Ebmpaps fan circuit 3</t>
  </si>
  <si>
    <t>Alarm code for Ebmpaps fan circuit 3</t>
  </si>
  <si>
    <t>EDV_1. I7_SH_UNIT_POWER_PERCENT_msk</t>
  </si>
  <si>
    <t>Capacidad frigorífica - circuito 1 en driver</t>
  </si>
  <si>
    <t>Cooling capacity - circuit 1 from driver</t>
  </si>
  <si>
    <t>Cooling capacity -  circuit 2 from driver</t>
  </si>
  <si>
    <t>Capacidad frigorífica - circuito 2 en driver</t>
  </si>
  <si>
    <t>Máxima demanda de energía  permitida</t>
  </si>
  <si>
    <t>Gec44</t>
  </si>
  <si>
    <t xml:space="preserve">Mínima demanda de energía permitida - medidor de energía </t>
  </si>
  <si>
    <t>Minimum allowable energy demand - energy meter</t>
  </si>
  <si>
    <t xml:space="preserve">maximum allowable energy demand - energy meter </t>
  </si>
  <si>
    <t>EDV_1.I37_START_EEV_OPENING_RATIO_msk</t>
  </si>
  <si>
    <t>EDV_1.I60_START_EEV_OPEN_RATIO_2ND_msk</t>
  </si>
  <si>
    <t>EDV_1.I38_PID_Ti_msk</t>
  </si>
  <si>
    <t>EDV_1.I61_PID_Ti_2ND_msk</t>
  </si>
  <si>
    <t>EDV_1.I44_HITCOND_ALARM_DELAY_msk</t>
  </si>
  <si>
    <t>EDV_1.I43_LOW_SH_ALARM_DELAY_msk</t>
  </si>
  <si>
    <t>EDV_1.I41_LOP_ALARM_DELAY_msk</t>
  </si>
  <si>
    <t>EDV_1.I42_MOP_ALARM_DELAY_msk</t>
  </si>
  <si>
    <t>EDV_1.I62_LOW_SH_ALARM_DELAY_2ND_msk</t>
  </si>
  <si>
    <t>EDV_1.I63_LOP_ALARM_DELAY_2ND_msk</t>
  </si>
  <si>
    <t>EDV_1.I64_MOP_ALARM_DELAY_2ND_msk</t>
  </si>
  <si>
    <t>EDV_2.I37_START_EEV_OPENING_RATIO_msk</t>
  </si>
  <si>
    <t>EDV_2.I60_START_EEV_OPEN_RATIO_2ND_msk</t>
  </si>
  <si>
    <t>Porcentaje apertura VEE en el arranque - Modo frío</t>
  </si>
  <si>
    <t>Porcentaje apertura  VEE en el arranque - Modo calor</t>
  </si>
  <si>
    <t>Porcentaje apertura VEE arranque - Desescarche</t>
  </si>
  <si>
    <t>Porcentaje apertura arranque - Circuito 1 en driver</t>
  </si>
  <si>
    <t>PID: Tiempo integración -Circuito 1 en driver</t>
  </si>
  <si>
    <t>Retardo alarma temperatura condensación alta -Circuito 1 en driver</t>
  </si>
  <si>
    <t>LowSH: Retardo alarma sobrecalentamieno baja - Circuito 1 en driver</t>
  </si>
  <si>
    <t>LOP: Retardo alarma temperatura evaporación baja - Circuito 1 en driver</t>
  </si>
  <si>
    <t>MOP: Retardo alarma temperatura evaporación alta - Circuito 1 en driver</t>
  </si>
  <si>
    <t>Apertura inicial arranque - Circuito 1 en driver</t>
  </si>
  <si>
    <t>Porcentaje apertura arranque - Circuito 2 en driver</t>
  </si>
  <si>
    <t>PID: Tiempo integración - Circuito 2 en driver</t>
  </si>
  <si>
    <t>LowSH: Retardo alarma sobrecalentamieno baja - Circuito 2 en driver</t>
  </si>
  <si>
    <t>LOP: Retardo alarma temperatura evaporación baja - Circuito 2 en driver</t>
  </si>
  <si>
    <t>MOP: Retardo alarma temperatura evaporación alta - Circuito 2 en driver</t>
  </si>
  <si>
    <t>Apertura inicial arranque - Circuito 2 en driver</t>
  </si>
  <si>
    <t xml:space="preserve">Open valve startup (capacity ratio EVAP / EEV) - circuit  1 from driver </t>
  </si>
  <si>
    <t>PID: Integral time - circuit  1 from driver</t>
  </si>
  <si>
    <t>High condensing temperature alarm delay - circuit  1 from driver</t>
  </si>
  <si>
    <t>LowSH: low superheat alarm delay - circuit  1 from driver</t>
  </si>
  <si>
    <t>LOP: low evaporation temperature alarm delay -circuit  1 from driver</t>
  </si>
  <si>
    <t>MOP: high temperature evaporation alarm delay - circuit  1 from driver</t>
  </si>
  <si>
    <t>Open valve startup (capacity ratio EVAP / EEV) - circuit  1 from driver</t>
  </si>
  <si>
    <t>Open valve startup (capacity ratio EVAP / EEV) - circuit  2 from driver</t>
  </si>
  <si>
    <t>PID: integral time -circuit  2 from driver</t>
  </si>
  <si>
    <t>LowSH: low superheat alarm delay -circuit  2 from driver</t>
  </si>
  <si>
    <t>LOP: low evaporation temperature alarm delay - circuit  2 from driver</t>
  </si>
  <si>
    <t>MOP: high evaporation temperature alarm delay - circuit  2 from driver</t>
  </si>
  <si>
    <t xml:space="preserve"> % Percentage of VEE opening at start- Cold Mode</t>
  </si>
  <si>
    <t xml:space="preserve"> % Percentage of VEE opening at start - HeatPump mode</t>
  </si>
  <si>
    <t>Remaining Time in Air Renewal, in Air Quality</t>
  </si>
  <si>
    <t>Tiempo restante en la renovacion de aire, en calidad de aire</t>
  </si>
  <si>
    <t xml:space="preserve">Consumo potencia ventilador Retorno </t>
  </si>
  <si>
    <t>Estado funcionamiento ventilador retorno Zhiel-Abegg</t>
  </si>
  <si>
    <t>Corriente motor ventilador Impulsion Nicotra</t>
  </si>
  <si>
    <t>Consumo potencia ventilador impulsion Nicotra</t>
  </si>
  <si>
    <t>Fan Motor Current Impulsion Nicotra</t>
  </si>
  <si>
    <t>Impulsion Nicotra Fan Power Consumption</t>
  </si>
  <si>
    <t>Operating Status of Zhiel-Abegg Return Fan</t>
  </si>
  <si>
    <t>Corriente motor (parte baja cifra numérica) ventilador Retorno</t>
  </si>
  <si>
    <t>Return Fan Motor Current (Lower Part numerical frigure)</t>
  </si>
  <si>
    <t>Corriente motor (parte alta cifra numerica) ventilador Retorno</t>
  </si>
  <si>
    <t>Motor Current (Upper Numerical Figure) of Return Fan</t>
  </si>
  <si>
    <t xml:space="preserve">
Return Fan Power Consumption</t>
  </si>
  <si>
    <t xml:space="preserve">Diferencial de la presión del Ventilador Impulsión </t>
  </si>
  <si>
    <t xml:space="preserve">Potencia del Ventilador de Impulsion </t>
  </si>
  <si>
    <t>Supply Fan Power</t>
  </si>
  <si>
    <t xml:space="preserve">Velocidad  Ventilador de Impulsion </t>
  </si>
  <si>
    <t xml:space="preserve">Potencia ventilador Retorno </t>
  </si>
  <si>
    <t xml:space="preserve">Corriente Continua Ventilador Impulsion </t>
  </si>
  <si>
    <t xml:space="preserve">Corriente Continua Ventilador Retorno </t>
  </si>
  <si>
    <t>Velocidad del Ventilador de Retorno</t>
  </si>
  <si>
    <t>Direct Current (DC) for Impulse Fan</t>
  </si>
  <si>
    <t>Return Fan Power</t>
  </si>
  <si>
    <t>Direct Current (DC) supply Fan</t>
  </si>
  <si>
    <t>Direct Current (DC) Return Fan</t>
  </si>
  <si>
    <t>Return Fan Speed</t>
  </si>
  <si>
    <t xml:space="preserve">Temperatura  ventilador interior EBM </t>
  </si>
  <si>
    <t xml:space="preserve"> temperature for Internal Ebmpapst fan</t>
  </si>
  <si>
    <t>Estado Unidad  (0: -; 1: -; 2: OffByALR; 3: OffByNETWORK; 4: OffBySPV; 5: OffBySCH; 6: OffByDIN; 7: OffByKEY; 8: Manual)</t>
  </si>
  <si>
    <t>Unit Status (0: - Waiting ; 1: Unit On-; 2: OffByAlarm; 3: OffByGlobal management ; 4: OffByMonitoring(BMS); 5: OffByschedule; 6: OffByDigital Input; 7: OffBykeyboard; 8-12: unused)</t>
  </si>
  <si>
    <t>Tiempo mínimo rampa decreciente - Regulacion Sobrepresión</t>
  </si>
  <si>
    <t>Tiempo máximo rampa decreciente - Regulacion Sobrepresión</t>
  </si>
  <si>
    <t>Tiempo mínimo rampa creciente Regulacion Sobrepresión</t>
  </si>
  <si>
    <t xml:space="preserve"> Demanda Sobrepresión</t>
  </si>
  <si>
    <t>Tiempo máximo rampa creciente - Regulacion de  Sobrepresión</t>
  </si>
  <si>
    <t>Decresing ramp overpressure minimun time- Pressure Overload Regulation</t>
  </si>
  <si>
    <t>Decresing ramp overpressure maximun time Pressure Overload Regulation</t>
  </si>
  <si>
    <t>Incresing ramp overpressure minimun time Pressure Overload Regulation</t>
  </si>
  <si>
    <t>Incresing ramp overpressure maximun time Pressure Overload Regulation</t>
  </si>
  <si>
    <t>Difference between supply pressure and return pressure - Pressure Overload Regulation</t>
  </si>
  <si>
    <t>Mix dumper factor e - Pressure Overload Regulation</t>
  </si>
  <si>
    <t>Prepositioning time overpressure e - Pressure Overload Regulation</t>
  </si>
  <si>
    <t>Overpressure PID integral time e - Pressure Overload Regulation</t>
  </si>
  <si>
    <t>Overpressure PID derivative time e - Pressure Overload Regulation</t>
  </si>
  <si>
    <t>Lectura diferencia presion impulsion y retorno - Regulacion de Sobrepresión</t>
  </si>
  <si>
    <t>Corrige la posición de la compuerta de mezcla calculada - Regulacion de Sobrepresión</t>
  </si>
  <si>
    <t>Tiempo para preposicionamiento de compuerta al arrancar - Regulacion de Sobrepresión</t>
  </si>
  <si>
    <t>Tiempo integral PID sobrepresión - Regulacion de Sobrepresión</t>
  </si>
  <si>
    <t>Retardo cerrar las compuertas en OFF - Regulacion de Sobrepresión</t>
  </si>
  <si>
    <t xml:space="preserve">Tiempo derivativo PID sobrepresión - Regulacion de Sobrepresión </t>
  </si>
  <si>
    <t>Closing dump delay OFF - Pressure Overload Regulation</t>
  </si>
  <si>
    <t>EDV_2.I7_SH_UNIT_POWER_PERCENT</t>
  </si>
  <si>
    <t>EDV_2.I50_SH_UNIT_POWER_PERCENT_2ND</t>
  </si>
  <si>
    <t>Capacidad frigorífica - Circuito 1 en placa</t>
  </si>
  <si>
    <t>Capacidad frigorífica - Circuito 2 en plca</t>
  </si>
  <si>
    <t>Cooling capacity - circuit 2 on board</t>
  </si>
  <si>
    <t>Cooling capacity - circuit 1 on board</t>
  </si>
  <si>
    <t>EDV_2.I49_EEV_POSITION_STEPS_2ND_msk</t>
  </si>
  <si>
    <t>EDV_2.I51_REG_STATUS_2ND_msk</t>
  </si>
  <si>
    <t>Posición VEE - Circuito 4 en driver</t>
  </si>
  <si>
    <t>Posición VEE - Circuito 3 en driver</t>
  </si>
  <si>
    <t>EEV status - Circuito 4 from driver</t>
  </si>
  <si>
    <t>EEV position - Circuit 3 from driver</t>
  </si>
  <si>
    <t>Sensor captador de presión de Ventilador de Impusión Nicotra</t>
  </si>
  <si>
    <t>Pressure Sensor for Nicotra supply Fan</t>
  </si>
  <si>
    <t>Sensor captador de presión Ventilador Retorno de Nicotra</t>
  </si>
  <si>
    <t>Pressure Sensor for Nicotra Return Fan</t>
  </si>
  <si>
    <t>Valor del Caudal de aire de los ventiladores Nicotra de impulsion , pantalla caudal constate</t>
  </si>
  <si>
    <t>Air Flow Value for Nicotra Impulse Fans, Constant Flow Display</t>
  </si>
  <si>
    <t xml:space="preserve">Cliente </t>
  </si>
  <si>
    <t>Demanda inicial 2 de compresores Fullinverter</t>
  </si>
  <si>
    <t>Initial Demand 2 for Full Inverter Compressors</t>
  </si>
  <si>
    <t>Caudal Mínimo ventilador impulsion EBM PGD</t>
  </si>
  <si>
    <t>Minimum Flow Rate of EBM PGD Impulse Fan</t>
  </si>
  <si>
    <t>Zona neutra regulacion ventilador Impulsion EBM</t>
  </si>
  <si>
    <t>Neutral Zone Regulation of EBM Impulse Fan</t>
  </si>
  <si>
    <t>Incremento Diferencial Zona Muerta regulación para activación dispositivos ventildor Impulsion EBM</t>
  </si>
  <si>
    <t>Decremento Diferencial Zona Muerta regulación para activación dispositivos ventildor Impulsion EBM</t>
  </si>
  <si>
    <t>Dead Zone Differential Decrement for Activation of Regulation Devices for EBM Impulse Fan</t>
  </si>
  <si>
    <t>Increment Dead Zone Differential for Activation of EBM Impulse Fan Regulation Devices</t>
  </si>
  <si>
    <t xml:space="preserve">Tiempo a maxima velocidad  control presión Ventilador Exterior  </t>
  </si>
  <si>
    <t>Time to Maximum Speed Pressure Control External Fan</t>
  </si>
  <si>
    <t>Tiempo Derivativo - Regulación Humedad</t>
  </si>
  <si>
    <t>Tiempo Integración - Regulación Humedad</t>
  </si>
  <si>
    <t>minima velocidad en rpm control Ventiladores Nicrota</t>
  </si>
  <si>
    <t xml:space="preserve">maxima velocidad en rpm ventiladores Nicotra </t>
  </si>
  <si>
    <t xml:space="preserve">Tiempo Integración - Regulación Temperatura </t>
  </si>
  <si>
    <t>Integration Time - Temperature Regulation</t>
  </si>
  <si>
    <t>Derivative Time - Temperature Regulation</t>
  </si>
  <si>
    <t xml:space="preserve">
Minimum Speed in RPM - Nicotra Fan Control</t>
  </si>
  <si>
    <t>Maximum Speed in RPM - Nicotra Fans</t>
  </si>
  <si>
    <t>MODO_FUNC</t>
  </si>
  <si>
    <t>Seleccion Funcionamiento (0-Climatización /1 - ventilacion)</t>
  </si>
  <si>
    <t>Select Operation (0-Air Conditioning /1 - Ventilation)</t>
  </si>
  <si>
    <t>MV-BV_KAA_2510B_ES_EN_EU_ESKEYS02NU(A)_V1.3.7</t>
  </si>
  <si>
    <t>KW</t>
  </si>
  <si>
    <t>Equivalent Electrical Power calculated by Energy Meter when this is enabled</t>
  </si>
  <si>
    <t xml:space="preserve">Potencia Eléctrica Equivalente calculada por Medidor de Energía cuando este se encuentra habilitado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</si>
</sst>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A&quot;#,##0"/>
    <numFmt numFmtId="165" formatCode="&quot;I&quot;#,##0"/>
    <numFmt numFmtId="166" formatCode="&quot;B&quot;#,##0"/>
  </numFmts>
  <fonts count="9" x14ac:knownFonts="1">
    <font>
      <sz val="11"/>
      <color theme="1"/>
      <name val="Calibri"/>
      <family val="2"/>
      <scheme val="minor"/>
    </font>
    <font>
      <sz val="8"/>
      <color theme="1"/>
      <name val="Segoe UI"/>
      <family val="2"/>
    </font>
    <font>
      <b/>
      <sz val="8"/>
      <color rgb="FF000000"/>
      <name val="Segoe UI"/>
      <family val="2"/>
    </font>
    <font>
      <sz val="8"/>
      <name val="Calibri"/>
      <family val="2"/>
      <scheme val="minor"/>
    </font>
    <font>
      <sz val="8"/>
      <name val="Segoe UI"/>
      <family val="2"/>
    </font>
    <font>
      <sz val="8"/>
      <color rgb="FFFF0000"/>
      <name val="Segoe UI"/>
      <family val="2"/>
    </font>
    <font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C2D69B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 wrapText="1"/>
    </xf>
    <xf numFmtId="166" fontId="1" fillId="0" borderId="1" xfId="0" applyNumberFormat="1" applyFont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0" fillId="6" borderId="0" xfId="0" applyFill="1"/>
    <xf numFmtId="0" fontId="0" fillId="3" borderId="0" xfId="0" applyFill="1"/>
    <xf numFmtId="0" fontId="0" fillId="5" borderId="0" xfId="0" applyFill="1"/>
    <xf numFmtId="0" fontId="0" fillId="7" borderId="0" xfId="0" applyFill="1"/>
    <xf numFmtId="0" fontId="6" fillId="8" borderId="0" xfId="0" applyFont="1" applyFill="1"/>
    <xf numFmtId="0" fontId="0" fillId="9" borderId="0" xfId="0" applyFill="1"/>
    <xf numFmtId="0" fontId="1" fillId="0" borderId="0" xfId="0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" fontId="1" fillId="0" borderId="0" xfId="0" applyNumberFormat="1" applyFont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8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" fillId="2" borderId="3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7" fillId="11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4C0FE-B3FE-47CC-8001-EE36FDD9E231}">
  <sheetPr codeName="Hoja1"/>
  <dimension ref="B2:C7"/>
  <sheetViews>
    <sheetView workbookViewId="0">
      <selection activeCell="C7" sqref="C7"/>
    </sheetView>
  </sheetViews>
  <sheetFormatPr baseColWidth="10" defaultRowHeight="15" x14ac:dyDescent="0.25"/>
  <sheetData>
    <row r="2" spans="2:3" x14ac:dyDescent="0.25">
      <c r="B2" s="5"/>
      <c r="C2" t="s">
        <v>1813</v>
      </c>
    </row>
    <row r="3" spans="2:3" x14ac:dyDescent="0.25">
      <c r="B3" s="6"/>
      <c r="C3" t="s">
        <v>1814</v>
      </c>
    </row>
    <row r="4" spans="2:3" x14ac:dyDescent="0.25">
      <c r="B4" s="7"/>
      <c r="C4" t="s">
        <v>1815</v>
      </c>
    </row>
    <row r="5" spans="2:3" x14ac:dyDescent="0.25">
      <c r="B5" s="8"/>
      <c r="C5" t="s">
        <v>1816</v>
      </c>
    </row>
    <row r="6" spans="2:3" x14ac:dyDescent="0.25">
      <c r="B6" s="9"/>
      <c r="C6" t="s">
        <v>1890</v>
      </c>
    </row>
    <row r="7" spans="2:3" x14ac:dyDescent="0.25">
      <c r="B7" s="10"/>
      <c r="C7" t="s">
        <v>1937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309"/>
  <sheetViews>
    <sheetView zoomScale="130" zoomScaleNormal="130" workbookViewId="0">
      <pane ySplit="3" topLeftCell="A13" activePane="bottomLeft" state="frozen"/>
      <selection pane="bottomLeft" activeCell="A23" sqref="A23:XFD23"/>
    </sheetView>
  </sheetViews>
  <sheetFormatPr baseColWidth="10" defaultColWidth="45.140625" defaultRowHeight="10.5" x14ac:dyDescent="0.25"/>
  <cols>
    <col min="1" max="1" width="15.140625" style="11" customWidth="1"/>
    <col min="2" max="2" width="13.85546875" style="14" customWidth="1"/>
    <col min="3" max="3" width="12.85546875" style="11" bestFit="1" customWidth="1"/>
    <col min="4" max="4" width="24.28515625" style="11" bestFit="1" customWidth="1"/>
    <col min="5" max="5" width="37" style="11" customWidth="1"/>
    <col min="6" max="6" width="33.85546875" style="11" customWidth="1"/>
    <col min="7" max="7" width="8.85546875" style="11" customWidth="1"/>
    <col min="8" max="8" width="6.85546875" style="11" bestFit="1" customWidth="1"/>
    <col min="9" max="9" width="5.7109375" style="11" bestFit="1" customWidth="1"/>
    <col min="10" max="10" width="5.42578125" style="11" bestFit="1" customWidth="1"/>
    <col min="11" max="11" width="8.42578125" style="11" bestFit="1" customWidth="1"/>
    <col min="12" max="12" width="5.28515625" style="11" hidden="1" customWidth="1"/>
    <col min="13" max="13" width="21.42578125" style="11" customWidth="1"/>
    <col min="14" max="16384" width="45.140625" style="11"/>
  </cols>
  <sheetData>
    <row r="1" spans="1:13" x14ac:dyDescent="0.25">
      <c r="B1" s="12" t="s">
        <v>2685</v>
      </c>
    </row>
    <row r="2" spans="1:13" ht="14.45" customHeight="1" x14ac:dyDescent="0.25">
      <c r="A2" s="32" t="s">
        <v>452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</row>
    <row r="3" spans="1:13" x14ac:dyDescent="0.25">
      <c r="A3" s="4" t="s">
        <v>2392</v>
      </c>
      <c r="B3" s="4" t="s">
        <v>1244</v>
      </c>
      <c r="C3" s="1" t="s">
        <v>1242</v>
      </c>
      <c r="D3" s="4" t="s">
        <v>6</v>
      </c>
      <c r="E3" s="4" t="s">
        <v>1245</v>
      </c>
      <c r="F3" s="4" t="s">
        <v>1246</v>
      </c>
      <c r="G3" s="4" t="s">
        <v>1</v>
      </c>
      <c r="H3" s="4" t="s">
        <v>2</v>
      </c>
      <c r="I3" s="4" t="s">
        <v>3</v>
      </c>
      <c r="J3" s="4" t="s">
        <v>4</v>
      </c>
      <c r="K3" s="4" t="s">
        <v>5</v>
      </c>
      <c r="L3" s="4" t="s">
        <v>2305</v>
      </c>
      <c r="M3" s="1" t="s">
        <v>2245</v>
      </c>
    </row>
    <row r="4" spans="1:13" ht="21" x14ac:dyDescent="0.25">
      <c r="A4" s="23">
        <v>1</v>
      </c>
      <c r="B4" s="23">
        <v>1</v>
      </c>
      <c r="C4" s="24" t="str">
        <f>"A"&amp;B4</f>
        <v>A1</v>
      </c>
      <c r="D4" s="13" t="s">
        <v>12</v>
      </c>
      <c r="E4" s="13" t="s">
        <v>1253</v>
      </c>
      <c r="F4" s="13" t="s">
        <v>1248</v>
      </c>
      <c r="G4" s="13" t="s">
        <v>7</v>
      </c>
      <c r="H4" s="13" t="s">
        <v>8</v>
      </c>
      <c r="I4" s="13" t="s">
        <v>9</v>
      </c>
      <c r="J4" s="13" t="s">
        <v>10</v>
      </c>
      <c r="K4" s="13" t="s">
        <v>11</v>
      </c>
      <c r="L4" s="13"/>
      <c r="M4" s="18" t="s">
        <v>2246</v>
      </c>
    </row>
    <row r="5" spans="1:13" x14ac:dyDescent="0.25">
      <c r="A5" s="23">
        <v>2</v>
      </c>
      <c r="B5" s="23">
        <v>2</v>
      </c>
      <c r="C5" s="24" t="str">
        <f t="shared" ref="C5:C53" si="0">"A"&amp;B5</f>
        <v>A2</v>
      </c>
      <c r="D5" s="13" t="s">
        <v>17</v>
      </c>
      <c r="E5" s="13" t="s">
        <v>479</v>
      </c>
      <c r="F5" s="13" t="s">
        <v>1303</v>
      </c>
      <c r="G5" s="13" t="s">
        <v>0</v>
      </c>
      <c r="H5" s="13" t="s">
        <v>13</v>
      </c>
      <c r="I5" s="13" t="s">
        <v>14</v>
      </c>
      <c r="J5" s="13" t="s">
        <v>15</v>
      </c>
      <c r="K5" s="13" t="s">
        <v>16</v>
      </c>
      <c r="L5" s="13"/>
      <c r="M5" s="18" t="s">
        <v>2246</v>
      </c>
    </row>
    <row r="6" spans="1:13" x14ac:dyDescent="0.25">
      <c r="A6" s="23">
        <v>3</v>
      </c>
      <c r="B6" s="23">
        <v>3</v>
      </c>
      <c r="C6" s="24" t="str">
        <f t="shared" si="0"/>
        <v>A3</v>
      </c>
      <c r="D6" s="13" t="s">
        <v>21</v>
      </c>
      <c r="E6" s="13" t="s">
        <v>480</v>
      </c>
      <c r="F6" s="13" t="s">
        <v>1304</v>
      </c>
      <c r="G6" s="13" t="s">
        <v>0</v>
      </c>
      <c r="H6" s="13" t="s">
        <v>18</v>
      </c>
      <c r="I6" s="13" t="s">
        <v>19</v>
      </c>
      <c r="J6" s="13" t="s">
        <v>20</v>
      </c>
      <c r="K6" s="13" t="s">
        <v>16</v>
      </c>
      <c r="L6" s="13"/>
      <c r="M6" s="18" t="s">
        <v>2246</v>
      </c>
    </row>
    <row r="7" spans="1:13" x14ac:dyDescent="0.25">
      <c r="A7" s="23">
        <v>4</v>
      </c>
      <c r="B7" s="23">
        <v>4</v>
      </c>
      <c r="C7" s="24" t="str">
        <f t="shared" si="0"/>
        <v>A4</v>
      </c>
      <c r="D7" s="13" t="s">
        <v>23</v>
      </c>
      <c r="E7" s="13" t="s">
        <v>22</v>
      </c>
      <c r="F7" s="13" t="s">
        <v>1305</v>
      </c>
      <c r="G7" s="13" t="s">
        <v>0</v>
      </c>
      <c r="H7" s="13" t="s">
        <v>18</v>
      </c>
      <c r="I7" s="13" t="s">
        <v>19</v>
      </c>
      <c r="J7" s="13" t="s">
        <v>20</v>
      </c>
      <c r="K7" s="13" t="s">
        <v>16</v>
      </c>
      <c r="L7" s="13"/>
      <c r="M7" s="18" t="s">
        <v>2246</v>
      </c>
    </row>
    <row r="8" spans="1:13" x14ac:dyDescent="0.25">
      <c r="A8" s="23">
        <v>5</v>
      </c>
      <c r="B8" s="23">
        <v>5</v>
      </c>
      <c r="C8" s="24" t="str">
        <f t="shared" si="0"/>
        <v>A5</v>
      </c>
      <c r="D8" s="13" t="s">
        <v>24</v>
      </c>
      <c r="E8" s="13" t="s">
        <v>481</v>
      </c>
      <c r="F8" s="13" t="s">
        <v>1334</v>
      </c>
      <c r="G8" s="13" t="s">
        <v>0</v>
      </c>
      <c r="H8" s="13" t="s">
        <v>18</v>
      </c>
      <c r="I8" s="13" t="s">
        <v>19</v>
      </c>
      <c r="J8" s="13" t="s">
        <v>20</v>
      </c>
      <c r="K8" s="13" t="s">
        <v>16</v>
      </c>
      <c r="L8" s="13"/>
      <c r="M8" s="18" t="s">
        <v>2246</v>
      </c>
    </row>
    <row r="9" spans="1:13" x14ac:dyDescent="0.25">
      <c r="A9" s="23">
        <v>6</v>
      </c>
      <c r="B9" s="23">
        <v>6</v>
      </c>
      <c r="C9" s="24" t="str">
        <f t="shared" si="0"/>
        <v>A6</v>
      </c>
      <c r="D9" s="13" t="s">
        <v>26</v>
      </c>
      <c r="E9" s="13" t="s">
        <v>25</v>
      </c>
      <c r="F9" s="13" t="s">
        <v>1335</v>
      </c>
      <c r="G9" s="13" t="s">
        <v>0</v>
      </c>
      <c r="H9" s="13" t="s">
        <v>18</v>
      </c>
      <c r="I9" s="13" t="s">
        <v>19</v>
      </c>
      <c r="J9" s="13" t="s">
        <v>20</v>
      </c>
      <c r="K9" s="13" t="s">
        <v>16</v>
      </c>
      <c r="L9" s="13"/>
      <c r="M9" s="18" t="s">
        <v>2246</v>
      </c>
    </row>
    <row r="10" spans="1:13" x14ac:dyDescent="0.25">
      <c r="A10" s="23">
        <v>7</v>
      </c>
      <c r="B10" s="23">
        <v>7</v>
      </c>
      <c r="C10" s="24" t="str">
        <f t="shared" si="0"/>
        <v>A7</v>
      </c>
      <c r="D10" s="13" t="s">
        <v>28</v>
      </c>
      <c r="E10" s="13" t="s">
        <v>482</v>
      </c>
      <c r="F10" s="13" t="s">
        <v>1306</v>
      </c>
      <c r="G10" s="13" t="s">
        <v>0</v>
      </c>
      <c r="H10" s="13" t="s">
        <v>8</v>
      </c>
      <c r="I10" s="13">
        <v>0</v>
      </c>
      <c r="J10" s="13" t="s">
        <v>27</v>
      </c>
      <c r="K10" s="13" t="s">
        <v>16</v>
      </c>
      <c r="L10" s="13"/>
      <c r="M10" s="18" t="s">
        <v>2246</v>
      </c>
    </row>
    <row r="11" spans="1:13" ht="21" x14ac:dyDescent="0.25">
      <c r="A11" s="23">
        <v>8</v>
      </c>
      <c r="B11" s="23">
        <v>8</v>
      </c>
      <c r="C11" s="24" t="str">
        <f t="shared" si="0"/>
        <v>A8</v>
      </c>
      <c r="D11" s="13" t="s">
        <v>29</v>
      </c>
      <c r="E11" s="13" t="s">
        <v>1775</v>
      </c>
      <c r="F11" s="13" t="s">
        <v>1307</v>
      </c>
      <c r="G11" s="13" t="s">
        <v>7</v>
      </c>
      <c r="H11" s="13" t="s">
        <v>8</v>
      </c>
      <c r="I11" s="13" t="s">
        <v>9</v>
      </c>
      <c r="J11" s="13" t="s">
        <v>10</v>
      </c>
      <c r="K11" s="13" t="s">
        <v>11</v>
      </c>
      <c r="L11" s="13"/>
      <c r="M11" s="18" t="s">
        <v>2246</v>
      </c>
    </row>
    <row r="12" spans="1:13" ht="21" x14ac:dyDescent="0.25">
      <c r="A12" s="23">
        <v>9</v>
      </c>
      <c r="B12" s="23">
        <v>9</v>
      </c>
      <c r="C12" s="24" t="str">
        <f t="shared" si="0"/>
        <v>A9</v>
      </c>
      <c r="D12" s="13" t="s">
        <v>30</v>
      </c>
      <c r="E12" s="13" t="s">
        <v>1774</v>
      </c>
      <c r="F12" s="13" t="s">
        <v>1308</v>
      </c>
      <c r="G12" s="13" t="s">
        <v>7</v>
      </c>
      <c r="H12" s="13" t="s">
        <v>8</v>
      </c>
      <c r="I12" s="13" t="s">
        <v>9</v>
      </c>
      <c r="J12" s="13" t="s">
        <v>10</v>
      </c>
      <c r="K12" s="13" t="s">
        <v>11</v>
      </c>
      <c r="L12" s="13"/>
      <c r="M12" s="18" t="s">
        <v>2246</v>
      </c>
    </row>
    <row r="13" spans="1:13" ht="21" x14ac:dyDescent="0.25">
      <c r="A13" s="23">
        <v>10</v>
      </c>
      <c r="B13" s="23">
        <v>10</v>
      </c>
      <c r="C13" s="24" t="str">
        <f t="shared" si="0"/>
        <v>A10</v>
      </c>
      <c r="D13" s="13" t="s">
        <v>31</v>
      </c>
      <c r="E13" s="13" t="s">
        <v>1776</v>
      </c>
      <c r="F13" s="13" t="s">
        <v>1309</v>
      </c>
      <c r="G13" s="13" t="s">
        <v>7</v>
      </c>
      <c r="H13" s="13" t="s">
        <v>8</v>
      </c>
      <c r="I13" s="13">
        <v>0</v>
      </c>
      <c r="J13" s="13" t="s">
        <v>15</v>
      </c>
      <c r="K13" s="13" t="s">
        <v>11</v>
      </c>
      <c r="L13" s="13"/>
      <c r="M13" s="18" t="s">
        <v>2246</v>
      </c>
    </row>
    <row r="14" spans="1:13" ht="21" x14ac:dyDescent="0.25">
      <c r="A14" s="23">
        <v>11</v>
      </c>
      <c r="B14" s="23">
        <v>11</v>
      </c>
      <c r="C14" s="24" t="str">
        <f t="shared" si="0"/>
        <v>A11</v>
      </c>
      <c r="D14" s="13" t="s">
        <v>32</v>
      </c>
      <c r="E14" s="13" t="s">
        <v>1777</v>
      </c>
      <c r="F14" s="13" t="s">
        <v>1310</v>
      </c>
      <c r="G14" s="13" t="s">
        <v>7</v>
      </c>
      <c r="H14" s="13" t="s">
        <v>8</v>
      </c>
      <c r="I14" s="13" t="s">
        <v>9</v>
      </c>
      <c r="J14" s="13" t="s">
        <v>10</v>
      </c>
      <c r="K14" s="13" t="s">
        <v>11</v>
      </c>
      <c r="L14" s="13"/>
      <c r="M14" s="18" t="s">
        <v>2246</v>
      </c>
    </row>
    <row r="15" spans="1:13" ht="21" x14ac:dyDescent="0.25">
      <c r="A15" s="23">
        <v>12</v>
      </c>
      <c r="B15" s="23">
        <v>12</v>
      </c>
      <c r="C15" s="24" t="str">
        <f t="shared" si="0"/>
        <v>A12</v>
      </c>
      <c r="D15" s="13" t="s">
        <v>34</v>
      </c>
      <c r="E15" s="13" t="s">
        <v>483</v>
      </c>
      <c r="F15" s="13" t="s">
        <v>1311</v>
      </c>
      <c r="G15" s="13" t="s">
        <v>7</v>
      </c>
      <c r="H15" s="13" t="s">
        <v>33</v>
      </c>
      <c r="I15" s="13" t="s">
        <v>9</v>
      </c>
      <c r="J15" s="13" t="s">
        <v>10</v>
      </c>
      <c r="K15" s="13" t="s">
        <v>11</v>
      </c>
      <c r="L15" s="13"/>
      <c r="M15" s="18" t="s">
        <v>2246</v>
      </c>
    </row>
    <row r="16" spans="1:13" ht="21" x14ac:dyDescent="0.25">
      <c r="A16" s="23">
        <v>13</v>
      </c>
      <c r="B16" s="23">
        <v>13</v>
      </c>
      <c r="C16" s="24" t="str">
        <f t="shared" si="0"/>
        <v>A13</v>
      </c>
      <c r="D16" s="13" t="s">
        <v>35</v>
      </c>
      <c r="E16" s="13" t="s">
        <v>484</v>
      </c>
      <c r="F16" s="13" t="s">
        <v>1312</v>
      </c>
      <c r="G16" s="13" t="s">
        <v>7</v>
      </c>
      <c r="H16" s="13" t="s">
        <v>33</v>
      </c>
      <c r="I16" s="13" t="s">
        <v>9</v>
      </c>
      <c r="J16" s="13" t="s">
        <v>10</v>
      </c>
      <c r="K16" s="13" t="s">
        <v>11</v>
      </c>
      <c r="L16" s="13"/>
      <c r="M16" s="18" t="s">
        <v>2246</v>
      </c>
    </row>
    <row r="17" spans="1:13" ht="21" x14ac:dyDescent="0.25">
      <c r="A17" s="23">
        <v>15</v>
      </c>
      <c r="B17" s="23">
        <v>15</v>
      </c>
      <c r="C17" s="24" t="str">
        <f t="shared" si="0"/>
        <v>A15</v>
      </c>
      <c r="D17" s="13" t="s">
        <v>36</v>
      </c>
      <c r="E17" s="13" t="s">
        <v>485</v>
      </c>
      <c r="F17" s="13" t="s">
        <v>1313</v>
      </c>
      <c r="G17" s="13" t="s">
        <v>7</v>
      </c>
      <c r="H17" s="13" t="s">
        <v>33</v>
      </c>
      <c r="I17" s="13" t="s">
        <v>9</v>
      </c>
      <c r="J17" s="13" t="s">
        <v>10</v>
      </c>
      <c r="K17" s="13" t="s">
        <v>11</v>
      </c>
      <c r="L17" s="13"/>
      <c r="M17" s="18" t="s">
        <v>2246</v>
      </c>
    </row>
    <row r="18" spans="1:13" ht="21" x14ac:dyDescent="0.25">
      <c r="A18" s="23">
        <v>16</v>
      </c>
      <c r="B18" s="23">
        <v>16</v>
      </c>
      <c r="C18" s="24" t="str">
        <f t="shared" si="0"/>
        <v>A16</v>
      </c>
      <c r="D18" s="13" t="s">
        <v>37</v>
      </c>
      <c r="E18" s="13" t="s">
        <v>486</v>
      </c>
      <c r="F18" s="13" t="s">
        <v>1314</v>
      </c>
      <c r="G18" s="13" t="s">
        <v>7</v>
      </c>
      <c r="H18" s="13" t="s">
        <v>18</v>
      </c>
      <c r="I18" s="13" t="s">
        <v>9</v>
      </c>
      <c r="J18" s="13" t="s">
        <v>10</v>
      </c>
      <c r="K18" s="13" t="s">
        <v>11</v>
      </c>
      <c r="L18" s="13"/>
      <c r="M18" s="18" t="s">
        <v>2246</v>
      </c>
    </row>
    <row r="19" spans="1:13" ht="21" x14ac:dyDescent="0.25">
      <c r="A19" s="23">
        <v>17</v>
      </c>
      <c r="B19" s="23">
        <v>17</v>
      </c>
      <c r="C19" s="24" t="str">
        <f t="shared" si="0"/>
        <v>A17</v>
      </c>
      <c r="D19" s="13" t="s">
        <v>38</v>
      </c>
      <c r="E19" s="13" t="s">
        <v>611</v>
      </c>
      <c r="F19" s="13" t="s">
        <v>1315</v>
      </c>
      <c r="G19" s="13" t="s">
        <v>7</v>
      </c>
      <c r="H19" s="13" t="s">
        <v>18</v>
      </c>
      <c r="I19" s="13" t="s">
        <v>9</v>
      </c>
      <c r="J19" s="13" t="s">
        <v>10</v>
      </c>
      <c r="K19" s="13" t="s">
        <v>11</v>
      </c>
      <c r="L19" s="13"/>
      <c r="M19" s="18" t="s">
        <v>2246</v>
      </c>
    </row>
    <row r="20" spans="1:13" ht="21" x14ac:dyDescent="0.25">
      <c r="A20" s="23">
        <v>18</v>
      </c>
      <c r="B20" s="23">
        <v>18</v>
      </c>
      <c r="C20" s="24" t="str">
        <f t="shared" si="0"/>
        <v>A18</v>
      </c>
      <c r="D20" s="13" t="s">
        <v>39</v>
      </c>
      <c r="E20" s="13" t="s">
        <v>487</v>
      </c>
      <c r="F20" s="13" t="s">
        <v>1316</v>
      </c>
      <c r="G20" s="13" t="s">
        <v>7</v>
      </c>
      <c r="H20" s="13" t="s">
        <v>18</v>
      </c>
      <c r="I20" s="13" t="s">
        <v>9</v>
      </c>
      <c r="J20" s="13" t="s">
        <v>10</v>
      </c>
      <c r="K20" s="13" t="s">
        <v>11</v>
      </c>
      <c r="L20" s="13"/>
      <c r="M20" s="18" t="s">
        <v>2246</v>
      </c>
    </row>
    <row r="21" spans="1:13" ht="21" x14ac:dyDescent="0.25">
      <c r="A21" s="23">
        <v>19</v>
      </c>
      <c r="B21" s="23">
        <v>19</v>
      </c>
      <c r="C21" s="24" t="str">
        <f t="shared" si="0"/>
        <v>A19</v>
      </c>
      <c r="D21" s="13" t="s">
        <v>41</v>
      </c>
      <c r="E21" s="13" t="s">
        <v>488</v>
      </c>
      <c r="F21" s="13" t="s">
        <v>1317</v>
      </c>
      <c r="G21" s="13" t="s">
        <v>7</v>
      </c>
      <c r="H21" s="13" t="s">
        <v>18</v>
      </c>
      <c r="I21" s="13" t="s">
        <v>40</v>
      </c>
      <c r="J21" s="13" t="s">
        <v>10</v>
      </c>
      <c r="K21" s="13" t="s">
        <v>11</v>
      </c>
      <c r="L21" s="13"/>
      <c r="M21" s="18" t="s">
        <v>2246</v>
      </c>
    </row>
    <row r="22" spans="1:13" ht="21" x14ac:dyDescent="0.25">
      <c r="A22" s="23">
        <v>20</v>
      </c>
      <c r="B22" s="23">
        <v>20</v>
      </c>
      <c r="C22" s="24" t="str">
        <f t="shared" si="0"/>
        <v>A20</v>
      </c>
      <c r="D22" s="13" t="s">
        <v>42</v>
      </c>
      <c r="E22" s="13" t="s">
        <v>1257</v>
      </c>
      <c r="F22" s="13" t="s">
        <v>1318</v>
      </c>
      <c r="G22" s="13" t="s">
        <v>7</v>
      </c>
      <c r="H22" s="13" t="s">
        <v>8</v>
      </c>
      <c r="I22" s="13" t="s">
        <v>9</v>
      </c>
      <c r="J22" s="13" t="s">
        <v>10</v>
      </c>
      <c r="K22" s="13" t="s">
        <v>11</v>
      </c>
      <c r="L22" s="13"/>
      <c r="M22" s="18" t="s">
        <v>2246</v>
      </c>
    </row>
    <row r="23" spans="1:13" ht="31.5" x14ac:dyDescent="0.25">
      <c r="A23" s="23">
        <v>21</v>
      </c>
      <c r="B23" s="23">
        <v>21</v>
      </c>
      <c r="C23" s="24" t="str">
        <f t="shared" si="0"/>
        <v>A21</v>
      </c>
      <c r="D23" s="13" t="s">
        <v>44</v>
      </c>
      <c r="E23" s="13" t="s">
        <v>2688</v>
      </c>
      <c r="F23" s="13" t="s">
        <v>2687</v>
      </c>
      <c r="G23" s="13" t="s">
        <v>0</v>
      </c>
      <c r="H23" s="13" t="s">
        <v>43</v>
      </c>
      <c r="I23" s="13">
        <v>0</v>
      </c>
      <c r="J23" s="13" t="s">
        <v>20</v>
      </c>
      <c r="K23" s="13" t="s">
        <v>11</v>
      </c>
      <c r="L23" s="13"/>
      <c r="M23" s="18" t="s">
        <v>2246</v>
      </c>
    </row>
    <row r="24" spans="1:13" x14ac:dyDescent="0.25">
      <c r="A24" s="23">
        <v>23</v>
      </c>
      <c r="B24" s="23">
        <v>23</v>
      </c>
      <c r="C24" s="24" t="str">
        <f t="shared" si="0"/>
        <v>A23</v>
      </c>
      <c r="D24" s="13" t="s">
        <v>47</v>
      </c>
      <c r="E24" s="13" t="s">
        <v>1817</v>
      </c>
      <c r="F24" s="13" t="s">
        <v>1818</v>
      </c>
      <c r="G24" s="13" t="s">
        <v>46</v>
      </c>
      <c r="H24" s="13" t="s">
        <v>8</v>
      </c>
      <c r="I24" s="13">
        <v>0</v>
      </c>
      <c r="J24" s="13" t="s">
        <v>27</v>
      </c>
      <c r="K24" s="13" t="s">
        <v>16</v>
      </c>
      <c r="L24" s="13"/>
      <c r="M24" s="18" t="s">
        <v>2246</v>
      </c>
    </row>
    <row r="25" spans="1:13" x14ac:dyDescent="0.25">
      <c r="A25" s="23">
        <v>28</v>
      </c>
      <c r="B25" s="23">
        <v>28</v>
      </c>
      <c r="C25" s="24" t="str">
        <f t="shared" si="0"/>
        <v>A28</v>
      </c>
      <c r="D25" s="13" t="s">
        <v>53</v>
      </c>
      <c r="E25" s="13" t="s">
        <v>51</v>
      </c>
      <c r="F25" s="13" t="s">
        <v>1319</v>
      </c>
      <c r="G25" s="13" t="s">
        <v>0</v>
      </c>
      <c r="H25" s="13" t="s">
        <v>8</v>
      </c>
      <c r="I25" s="13">
        <v>0</v>
      </c>
      <c r="J25" s="13" t="s">
        <v>27</v>
      </c>
      <c r="K25" s="13" t="s">
        <v>16</v>
      </c>
      <c r="L25" s="13"/>
      <c r="M25" s="18" t="s">
        <v>2246</v>
      </c>
    </row>
    <row r="26" spans="1:13" ht="31.5" x14ac:dyDescent="0.25">
      <c r="A26" s="23">
        <v>29</v>
      </c>
      <c r="B26" s="23">
        <v>29</v>
      </c>
      <c r="C26" s="24" t="str">
        <f t="shared" si="0"/>
        <v>A29</v>
      </c>
      <c r="D26" s="13" t="s">
        <v>54</v>
      </c>
      <c r="E26" s="13" t="s">
        <v>1819</v>
      </c>
      <c r="F26" s="13" t="s">
        <v>1820</v>
      </c>
      <c r="G26" s="13" t="s">
        <v>0</v>
      </c>
      <c r="H26" s="13" t="s">
        <v>13</v>
      </c>
      <c r="I26" s="13" t="s">
        <v>14</v>
      </c>
      <c r="J26" s="13" t="s">
        <v>15</v>
      </c>
      <c r="K26" s="13" t="s">
        <v>11</v>
      </c>
      <c r="L26" s="13"/>
      <c r="M26" s="18" t="s">
        <v>2246</v>
      </c>
    </row>
    <row r="27" spans="1:13" ht="42" x14ac:dyDescent="0.25">
      <c r="A27" s="23">
        <v>30</v>
      </c>
      <c r="B27" s="23">
        <v>30</v>
      </c>
      <c r="C27" s="24" t="str">
        <f t="shared" si="0"/>
        <v>A30</v>
      </c>
      <c r="D27" s="13" t="s">
        <v>55</v>
      </c>
      <c r="E27" s="13" t="s">
        <v>1822</v>
      </c>
      <c r="F27" s="13" t="s">
        <v>1821</v>
      </c>
      <c r="G27" s="13" t="s">
        <v>0</v>
      </c>
      <c r="H27" s="13" t="s">
        <v>13</v>
      </c>
      <c r="I27" s="13" t="s">
        <v>14</v>
      </c>
      <c r="J27" s="13" t="s">
        <v>15</v>
      </c>
      <c r="K27" s="13" t="s">
        <v>11</v>
      </c>
      <c r="L27" s="13"/>
      <c r="M27" s="18" t="s">
        <v>2246</v>
      </c>
    </row>
    <row r="28" spans="1:13" ht="21" x14ac:dyDescent="0.25">
      <c r="A28" s="23">
        <v>31</v>
      </c>
      <c r="B28" s="23">
        <v>31</v>
      </c>
      <c r="C28" s="24" t="str">
        <f t="shared" si="0"/>
        <v>A31</v>
      </c>
      <c r="D28" s="13" t="s">
        <v>56</v>
      </c>
      <c r="E28" s="13" t="s">
        <v>1254</v>
      </c>
      <c r="F28" s="13" t="s">
        <v>1320</v>
      </c>
      <c r="G28" s="13" t="s">
        <v>0</v>
      </c>
      <c r="H28" s="13" t="s">
        <v>13</v>
      </c>
      <c r="I28" s="13">
        <v>0</v>
      </c>
      <c r="J28" s="13" t="s">
        <v>10</v>
      </c>
      <c r="K28" s="13" t="s">
        <v>16</v>
      </c>
      <c r="L28" s="13"/>
      <c r="M28" s="18" t="s">
        <v>2248</v>
      </c>
    </row>
    <row r="29" spans="1:13" ht="21" x14ac:dyDescent="0.25">
      <c r="A29" s="23">
        <v>32</v>
      </c>
      <c r="B29" s="23">
        <v>32</v>
      </c>
      <c r="C29" s="24" t="str">
        <f t="shared" si="0"/>
        <v>A32</v>
      </c>
      <c r="D29" s="13" t="s">
        <v>57</v>
      </c>
      <c r="E29" s="13" t="s">
        <v>1258</v>
      </c>
      <c r="F29" s="13" t="s">
        <v>1322</v>
      </c>
      <c r="G29" s="13" t="s">
        <v>0</v>
      </c>
      <c r="H29" s="13" t="s">
        <v>13</v>
      </c>
      <c r="I29" s="13" t="s">
        <v>9</v>
      </c>
      <c r="J29" s="13" t="s">
        <v>10</v>
      </c>
      <c r="K29" s="13" t="s">
        <v>16</v>
      </c>
      <c r="L29" s="13"/>
      <c r="M29" s="18" t="s">
        <v>2248</v>
      </c>
    </row>
    <row r="30" spans="1:13" ht="21" x14ac:dyDescent="0.25">
      <c r="A30" s="23">
        <v>33</v>
      </c>
      <c r="B30" s="23">
        <v>33</v>
      </c>
      <c r="C30" s="24" t="str">
        <f t="shared" si="0"/>
        <v>A33</v>
      </c>
      <c r="D30" s="13" t="s">
        <v>58</v>
      </c>
      <c r="E30" s="13" t="s">
        <v>1255</v>
      </c>
      <c r="F30" s="13" t="s">
        <v>1321</v>
      </c>
      <c r="G30" s="13" t="s">
        <v>0</v>
      </c>
      <c r="H30" s="13" t="s">
        <v>13</v>
      </c>
      <c r="I30" s="13" t="s">
        <v>9</v>
      </c>
      <c r="J30" s="13" t="s">
        <v>10</v>
      </c>
      <c r="K30" s="13" t="s">
        <v>16</v>
      </c>
      <c r="L30" s="13"/>
      <c r="M30" s="18" t="s">
        <v>2248</v>
      </c>
    </row>
    <row r="31" spans="1:13" ht="21" x14ac:dyDescent="0.25">
      <c r="A31" s="23">
        <v>34</v>
      </c>
      <c r="B31" s="23">
        <v>34</v>
      </c>
      <c r="C31" s="24" t="str">
        <f t="shared" si="0"/>
        <v>A34</v>
      </c>
      <c r="D31" s="13" t="s">
        <v>59</v>
      </c>
      <c r="E31" s="13" t="s">
        <v>1259</v>
      </c>
      <c r="F31" s="13" t="s">
        <v>1323</v>
      </c>
      <c r="G31" s="13" t="s">
        <v>0</v>
      </c>
      <c r="H31" s="13" t="s">
        <v>13</v>
      </c>
      <c r="I31" s="13" t="s">
        <v>9</v>
      </c>
      <c r="J31" s="13" t="s">
        <v>10</v>
      </c>
      <c r="K31" s="13" t="s">
        <v>16</v>
      </c>
      <c r="L31" s="13"/>
      <c r="M31" s="18" t="s">
        <v>2248</v>
      </c>
    </row>
    <row r="32" spans="1:13" x14ac:dyDescent="0.25">
      <c r="A32" s="23">
        <v>35</v>
      </c>
      <c r="B32" s="23">
        <v>35</v>
      </c>
      <c r="C32" s="24" t="str">
        <f t="shared" si="0"/>
        <v>A35</v>
      </c>
      <c r="D32" s="13" t="s">
        <v>60</v>
      </c>
      <c r="E32" s="13" t="s">
        <v>489</v>
      </c>
      <c r="F32" s="13" t="s">
        <v>1325</v>
      </c>
      <c r="G32" s="13" t="s">
        <v>46</v>
      </c>
      <c r="H32" s="13" t="s">
        <v>18</v>
      </c>
      <c r="I32" s="13">
        <v>0</v>
      </c>
      <c r="J32" s="13" t="s">
        <v>15</v>
      </c>
      <c r="K32" s="13" t="s">
        <v>16</v>
      </c>
      <c r="L32" s="13"/>
      <c r="M32" s="18" t="s">
        <v>2248</v>
      </c>
    </row>
    <row r="33" spans="1:13" x14ac:dyDescent="0.25">
      <c r="A33" s="23">
        <v>36</v>
      </c>
      <c r="B33" s="23">
        <v>36</v>
      </c>
      <c r="C33" s="24" t="str">
        <f t="shared" si="0"/>
        <v>A36</v>
      </c>
      <c r="D33" s="13" t="s">
        <v>62</v>
      </c>
      <c r="E33" s="13" t="s">
        <v>1256</v>
      </c>
      <c r="F33" s="13" t="s">
        <v>1327</v>
      </c>
      <c r="G33" s="13" t="s">
        <v>46</v>
      </c>
      <c r="H33" s="13" t="s">
        <v>61</v>
      </c>
      <c r="I33" s="13">
        <v>0</v>
      </c>
      <c r="J33" s="13" t="s">
        <v>15</v>
      </c>
      <c r="K33" s="13" t="s">
        <v>16</v>
      </c>
      <c r="L33" s="13"/>
      <c r="M33" s="18" t="s">
        <v>2248</v>
      </c>
    </row>
    <row r="34" spans="1:13" x14ac:dyDescent="0.25">
      <c r="A34" s="23">
        <v>37</v>
      </c>
      <c r="B34" s="23">
        <v>37</v>
      </c>
      <c r="C34" s="24" t="str">
        <f t="shared" si="0"/>
        <v>A37</v>
      </c>
      <c r="D34" s="13" t="s">
        <v>64</v>
      </c>
      <c r="E34" s="13" t="s">
        <v>490</v>
      </c>
      <c r="F34" s="13" t="s">
        <v>1326</v>
      </c>
      <c r="G34" s="13" t="s">
        <v>0</v>
      </c>
      <c r="H34" s="13" t="s">
        <v>13</v>
      </c>
      <c r="I34" s="13">
        <v>0</v>
      </c>
      <c r="J34" s="13" t="s">
        <v>63</v>
      </c>
      <c r="K34" s="13" t="s">
        <v>16</v>
      </c>
      <c r="L34" s="13"/>
      <c r="M34" s="18" t="s">
        <v>2248</v>
      </c>
    </row>
    <row r="35" spans="1:13" ht="21" x14ac:dyDescent="0.25">
      <c r="A35" s="23">
        <v>38</v>
      </c>
      <c r="B35" s="23">
        <v>38</v>
      </c>
      <c r="C35" s="24" t="str">
        <f t="shared" si="0"/>
        <v>A38</v>
      </c>
      <c r="D35" s="13" t="s">
        <v>65</v>
      </c>
      <c r="E35" s="13" t="s">
        <v>2308</v>
      </c>
      <c r="F35" s="13" t="s">
        <v>2310</v>
      </c>
      <c r="G35" s="13" t="s">
        <v>0</v>
      </c>
      <c r="H35" s="13" t="s">
        <v>13</v>
      </c>
      <c r="I35" s="13" t="s">
        <v>19</v>
      </c>
      <c r="J35" s="13" t="s">
        <v>20</v>
      </c>
      <c r="K35" s="13" t="s">
        <v>16</v>
      </c>
      <c r="L35" s="13" t="s">
        <v>2307</v>
      </c>
      <c r="M35" s="18" t="s">
        <v>2248</v>
      </c>
    </row>
    <row r="36" spans="1:13" ht="18.600000000000001" customHeight="1" x14ac:dyDescent="0.25">
      <c r="A36" s="23">
        <v>39</v>
      </c>
      <c r="B36" s="23">
        <v>39</v>
      </c>
      <c r="C36" s="24" t="str">
        <f t="shared" si="0"/>
        <v>A39</v>
      </c>
      <c r="D36" s="13" t="s">
        <v>66</v>
      </c>
      <c r="E36" s="13" t="s">
        <v>2306</v>
      </c>
      <c r="F36" s="13" t="s">
        <v>2309</v>
      </c>
      <c r="G36" s="13" t="s">
        <v>0</v>
      </c>
      <c r="H36" s="13" t="s">
        <v>13</v>
      </c>
      <c r="I36" s="13" t="s">
        <v>19</v>
      </c>
      <c r="J36" s="13" t="s">
        <v>20</v>
      </c>
      <c r="K36" s="13" t="s">
        <v>16</v>
      </c>
      <c r="L36" s="13" t="s">
        <v>2307</v>
      </c>
      <c r="M36" s="18" t="s">
        <v>2248</v>
      </c>
    </row>
    <row r="37" spans="1:13" x14ac:dyDescent="0.25">
      <c r="A37" s="23">
        <v>40</v>
      </c>
      <c r="B37" s="23">
        <v>40</v>
      </c>
      <c r="C37" s="24" t="str">
        <f t="shared" si="0"/>
        <v>A40</v>
      </c>
      <c r="D37" s="13" t="s">
        <v>67</v>
      </c>
      <c r="E37" s="13" t="s">
        <v>491</v>
      </c>
      <c r="F37" s="13" t="s">
        <v>1328</v>
      </c>
      <c r="G37" s="13" t="s">
        <v>0</v>
      </c>
      <c r="H37" s="13" t="s">
        <v>13</v>
      </c>
      <c r="I37" s="13" t="s">
        <v>14</v>
      </c>
      <c r="J37" s="13" t="s">
        <v>15</v>
      </c>
      <c r="K37" s="13" t="s">
        <v>16</v>
      </c>
      <c r="L37" s="13"/>
      <c r="M37" s="18" t="s">
        <v>2248</v>
      </c>
    </row>
    <row r="38" spans="1:13" x14ac:dyDescent="0.25">
      <c r="A38" s="23">
        <v>41</v>
      </c>
      <c r="B38" s="23">
        <v>41</v>
      </c>
      <c r="C38" s="24" t="str">
        <f t="shared" si="0"/>
        <v>A41</v>
      </c>
      <c r="D38" s="13" t="s">
        <v>68</v>
      </c>
      <c r="E38" s="13" t="s">
        <v>492</v>
      </c>
      <c r="F38" s="13" t="s">
        <v>1330</v>
      </c>
      <c r="G38" s="13" t="s">
        <v>0</v>
      </c>
      <c r="H38" s="13" t="s">
        <v>13</v>
      </c>
      <c r="I38" s="13" t="s">
        <v>14</v>
      </c>
      <c r="J38" s="13" t="s">
        <v>15</v>
      </c>
      <c r="K38" s="13" t="s">
        <v>16</v>
      </c>
      <c r="L38" s="13"/>
      <c r="M38" s="18" t="s">
        <v>2248</v>
      </c>
    </row>
    <row r="39" spans="1:13" ht="21" x14ac:dyDescent="0.25">
      <c r="A39" s="23">
        <v>42</v>
      </c>
      <c r="B39" s="23">
        <v>42</v>
      </c>
      <c r="C39" s="24" t="str">
        <f t="shared" si="0"/>
        <v>A42</v>
      </c>
      <c r="D39" s="13" t="s">
        <v>69</v>
      </c>
      <c r="E39" s="13" t="s">
        <v>493</v>
      </c>
      <c r="F39" s="13" t="s">
        <v>1331</v>
      </c>
      <c r="G39" s="13" t="s">
        <v>0</v>
      </c>
      <c r="H39" s="13" t="s">
        <v>13</v>
      </c>
      <c r="I39" s="13" t="s">
        <v>14</v>
      </c>
      <c r="J39" s="13" t="s">
        <v>15</v>
      </c>
      <c r="K39" s="13" t="s">
        <v>16</v>
      </c>
      <c r="L39" s="13"/>
      <c r="M39" s="18" t="s">
        <v>2248</v>
      </c>
    </row>
    <row r="40" spans="1:13" x14ac:dyDescent="0.25">
      <c r="A40" s="23">
        <v>43</v>
      </c>
      <c r="B40" s="23">
        <v>43</v>
      </c>
      <c r="C40" s="24" t="str">
        <f t="shared" si="0"/>
        <v>A43</v>
      </c>
      <c r="D40" s="13" t="s">
        <v>70</v>
      </c>
      <c r="E40" s="13" t="s">
        <v>494</v>
      </c>
      <c r="F40" s="13" t="s">
        <v>1329</v>
      </c>
      <c r="G40" s="13" t="s">
        <v>0</v>
      </c>
      <c r="H40" s="13" t="s">
        <v>13</v>
      </c>
      <c r="I40" s="13" t="s">
        <v>14</v>
      </c>
      <c r="J40" s="13" t="s">
        <v>15</v>
      </c>
      <c r="K40" s="13" t="s">
        <v>16</v>
      </c>
      <c r="L40" s="13"/>
      <c r="M40" s="18" t="s">
        <v>2248</v>
      </c>
    </row>
    <row r="41" spans="1:13" x14ac:dyDescent="0.25">
      <c r="A41" s="23">
        <v>44</v>
      </c>
      <c r="B41" s="23">
        <v>44</v>
      </c>
      <c r="C41" s="24" t="str">
        <f t="shared" si="0"/>
        <v>A44</v>
      </c>
      <c r="D41" s="13" t="s">
        <v>71</v>
      </c>
      <c r="E41" s="13" t="s">
        <v>495</v>
      </c>
      <c r="F41" s="13" t="s">
        <v>1332</v>
      </c>
      <c r="G41" s="13" t="s">
        <v>0</v>
      </c>
      <c r="H41" s="13" t="s">
        <v>13</v>
      </c>
      <c r="I41" s="13" t="s">
        <v>14</v>
      </c>
      <c r="J41" s="13" t="s">
        <v>15</v>
      </c>
      <c r="K41" s="13" t="s">
        <v>16</v>
      </c>
      <c r="L41" s="13"/>
      <c r="M41" s="18" t="s">
        <v>2248</v>
      </c>
    </row>
    <row r="42" spans="1:13" x14ac:dyDescent="0.25">
      <c r="A42" s="23">
        <v>45</v>
      </c>
      <c r="B42" s="23">
        <v>45</v>
      </c>
      <c r="C42" s="24" t="str">
        <f t="shared" si="0"/>
        <v>A45</v>
      </c>
      <c r="D42" s="13" t="s">
        <v>72</v>
      </c>
      <c r="E42" s="13" t="s">
        <v>1337</v>
      </c>
      <c r="F42" s="13" t="s">
        <v>1336</v>
      </c>
      <c r="G42" s="13" t="s">
        <v>0</v>
      </c>
      <c r="H42" s="13" t="s">
        <v>13</v>
      </c>
      <c r="I42" s="13" t="s">
        <v>14</v>
      </c>
      <c r="J42" s="13" t="s">
        <v>15</v>
      </c>
      <c r="K42" s="13" t="s">
        <v>16</v>
      </c>
      <c r="L42" s="13"/>
      <c r="M42" s="18" t="s">
        <v>2248</v>
      </c>
    </row>
    <row r="43" spans="1:13" x14ac:dyDescent="0.25">
      <c r="A43" s="23">
        <v>46</v>
      </c>
      <c r="B43" s="23">
        <v>46</v>
      </c>
      <c r="C43" s="24" t="str">
        <f t="shared" si="0"/>
        <v>A46</v>
      </c>
      <c r="D43" s="13" t="s">
        <v>73</v>
      </c>
      <c r="E43" s="13" t="s">
        <v>496</v>
      </c>
      <c r="F43" s="13" t="s">
        <v>1333</v>
      </c>
      <c r="G43" s="13" t="s">
        <v>0</v>
      </c>
      <c r="H43" s="13" t="s">
        <v>13</v>
      </c>
      <c r="I43" s="13" t="s">
        <v>14</v>
      </c>
      <c r="J43" s="13" t="s">
        <v>15</v>
      </c>
      <c r="K43" s="13" t="s">
        <v>16</v>
      </c>
      <c r="L43" s="13"/>
      <c r="M43" s="18" t="s">
        <v>2248</v>
      </c>
    </row>
    <row r="44" spans="1:13" x14ac:dyDescent="0.25">
      <c r="A44" s="23">
        <v>56</v>
      </c>
      <c r="B44" s="23">
        <v>56</v>
      </c>
      <c r="C44" s="24" t="str">
        <f t="shared" si="0"/>
        <v>A56</v>
      </c>
      <c r="D44" s="13" t="s">
        <v>74</v>
      </c>
      <c r="E44" s="13" t="s">
        <v>497</v>
      </c>
      <c r="F44" s="13" t="s">
        <v>1338</v>
      </c>
      <c r="G44" s="13" t="s">
        <v>0</v>
      </c>
      <c r="H44" s="13" t="s">
        <v>18</v>
      </c>
      <c r="I44" s="13">
        <v>0</v>
      </c>
      <c r="J44" s="13" t="s">
        <v>15</v>
      </c>
      <c r="K44" s="13" t="s">
        <v>16</v>
      </c>
      <c r="L44" s="13"/>
      <c r="M44" s="18" t="s">
        <v>2248</v>
      </c>
    </row>
    <row r="45" spans="1:13" ht="21" x14ac:dyDescent="0.25">
      <c r="A45" s="23">
        <v>57</v>
      </c>
      <c r="B45" s="23">
        <v>57</v>
      </c>
      <c r="C45" s="24" t="str">
        <f t="shared" si="0"/>
        <v>A57</v>
      </c>
      <c r="D45" s="13" t="s">
        <v>75</v>
      </c>
      <c r="E45" s="13" t="s">
        <v>1823</v>
      </c>
      <c r="F45" s="13" t="s">
        <v>1828</v>
      </c>
      <c r="G45" s="13" t="s">
        <v>0</v>
      </c>
      <c r="H45" s="13" t="s">
        <v>18</v>
      </c>
      <c r="I45" s="13" t="s">
        <v>14</v>
      </c>
      <c r="J45" s="13" t="s">
        <v>15</v>
      </c>
      <c r="K45" s="13" t="s">
        <v>16</v>
      </c>
      <c r="L45" s="13"/>
      <c r="M45" s="18" t="s">
        <v>2248</v>
      </c>
    </row>
    <row r="46" spans="1:13" ht="21" x14ac:dyDescent="0.25">
      <c r="A46" s="23">
        <v>58</v>
      </c>
      <c r="B46" s="23">
        <v>58</v>
      </c>
      <c r="C46" s="24" t="str">
        <f t="shared" si="0"/>
        <v>A58</v>
      </c>
      <c r="D46" s="13" t="s">
        <v>76</v>
      </c>
      <c r="E46" s="13" t="s">
        <v>1824</v>
      </c>
      <c r="F46" s="13" t="s">
        <v>1825</v>
      </c>
      <c r="G46" s="13" t="s">
        <v>0</v>
      </c>
      <c r="H46" s="13" t="s">
        <v>18</v>
      </c>
      <c r="I46" s="13">
        <v>0</v>
      </c>
      <c r="J46" s="13" t="s">
        <v>15</v>
      </c>
      <c r="K46" s="13" t="s">
        <v>16</v>
      </c>
      <c r="L46" s="13"/>
      <c r="M46" s="18" t="s">
        <v>2248</v>
      </c>
    </row>
    <row r="47" spans="1:13" ht="21" x14ac:dyDescent="0.25">
      <c r="A47" s="23">
        <v>59</v>
      </c>
      <c r="B47" s="23">
        <v>59</v>
      </c>
      <c r="C47" s="24" t="str">
        <f t="shared" si="0"/>
        <v>A59</v>
      </c>
      <c r="D47" s="13" t="s">
        <v>77</v>
      </c>
      <c r="E47" s="13" t="s">
        <v>1265</v>
      </c>
      <c r="F47" s="13" t="s">
        <v>1340</v>
      </c>
      <c r="G47" s="13" t="s">
        <v>0</v>
      </c>
      <c r="H47" s="13" t="s">
        <v>8</v>
      </c>
      <c r="I47" s="13">
        <v>0</v>
      </c>
      <c r="J47" s="13" t="s">
        <v>15</v>
      </c>
      <c r="K47" s="13" t="s">
        <v>16</v>
      </c>
      <c r="L47" s="13"/>
      <c r="M47" s="18" t="s">
        <v>2248</v>
      </c>
    </row>
    <row r="48" spans="1:13" ht="21" x14ac:dyDescent="0.25">
      <c r="A48" s="23">
        <v>60</v>
      </c>
      <c r="B48" s="23">
        <v>60</v>
      </c>
      <c r="C48" s="24" t="str">
        <f t="shared" si="0"/>
        <v>A60</v>
      </c>
      <c r="D48" s="13" t="s">
        <v>79</v>
      </c>
      <c r="E48" s="13" t="s">
        <v>1266</v>
      </c>
      <c r="F48" s="13" t="s">
        <v>1339</v>
      </c>
      <c r="G48" s="13" t="s">
        <v>0</v>
      </c>
      <c r="H48" s="13" t="s">
        <v>8</v>
      </c>
      <c r="I48" s="13">
        <v>0</v>
      </c>
      <c r="J48" s="13" t="s">
        <v>78</v>
      </c>
      <c r="K48" s="13" t="s">
        <v>16</v>
      </c>
      <c r="L48" s="13"/>
      <c r="M48" s="18" t="s">
        <v>2248</v>
      </c>
    </row>
    <row r="49" spans="1:13" ht="21" x14ac:dyDescent="0.25">
      <c r="A49" s="23">
        <v>61</v>
      </c>
      <c r="B49" s="23">
        <v>61</v>
      </c>
      <c r="C49" s="24" t="str">
        <f t="shared" si="0"/>
        <v>A61</v>
      </c>
      <c r="D49" s="13" t="s">
        <v>80</v>
      </c>
      <c r="E49" s="13" t="s">
        <v>1267</v>
      </c>
      <c r="F49" s="13" t="s">
        <v>1341</v>
      </c>
      <c r="G49" s="13" t="s">
        <v>0</v>
      </c>
      <c r="H49" s="13" t="s">
        <v>8</v>
      </c>
      <c r="I49" s="13">
        <v>0</v>
      </c>
      <c r="J49" s="13" t="s">
        <v>78</v>
      </c>
      <c r="K49" s="13" t="s">
        <v>16</v>
      </c>
      <c r="L49" s="13"/>
      <c r="M49" s="18" t="s">
        <v>2248</v>
      </c>
    </row>
    <row r="50" spans="1:13" ht="21" x14ac:dyDescent="0.25">
      <c r="A50" s="23">
        <v>62</v>
      </c>
      <c r="B50" s="23">
        <v>62</v>
      </c>
      <c r="C50" s="24" t="str">
        <f t="shared" si="0"/>
        <v>A62</v>
      </c>
      <c r="D50" s="13" t="s">
        <v>82</v>
      </c>
      <c r="E50" s="13" t="s">
        <v>1826</v>
      </c>
      <c r="F50" s="13" t="s">
        <v>1827</v>
      </c>
      <c r="G50" s="13" t="s">
        <v>81</v>
      </c>
      <c r="H50" s="13" t="s">
        <v>18</v>
      </c>
      <c r="I50" s="13" t="s">
        <v>14</v>
      </c>
      <c r="J50" s="13" t="s">
        <v>15</v>
      </c>
      <c r="K50" s="13" t="s">
        <v>16</v>
      </c>
      <c r="L50" s="13"/>
      <c r="M50" s="18" t="s">
        <v>2248</v>
      </c>
    </row>
    <row r="51" spans="1:13" x14ac:dyDescent="0.25">
      <c r="A51" s="23">
        <v>63</v>
      </c>
      <c r="B51" s="23">
        <v>63</v>
      </c>
      <c r="C51" s="24" t="str">
        <f t="shared" si="0"/>
        <v>A63</v>
      </c>
      <c r="D51" s="13" t="s">
        <v>84</v>
      </c>
      <c r="E51" s="13" t="s">
        <v>83</v>
      </c>
      <c r="F51" s="13" t="s">
        <v>1342</v>
      </c>
      <c r="G51" s="13" t="s">
        <v>0</v>
      </c>
      <c r="H51" s="13" t="s">
        <v>8</v>
      </c>
      <c r="I51" s="13">
        <v>0</v>
      </c>
      <c r="J51" s="13" t="s">
        <v>15</v>
      </c>
      <c r="K51" s="13" t="s">
        <v>16</v>
      </c>
      <c r="L51" s="13"/>
      <c r="M51" s="18" t="s">
        <v>2248</v>
      </c>
    </row>
    <row r="52" spans="1:13" ht="21" x14ac:dyDescent="0.25">
      <c r="A52" s="25">
        <v>64</v>
      </c>
      <c r="B52" s="25">
        <v>64</v>
      </c>
      <c r="C52" s="24" t="str">
        <f t="shared" si="0"/>
        <v>A64</v>
      </c>
      <c r="D52" s="13" t="s">
        <v>645</v>
      </c>
      <c r="E52" s="13" t="s">
        <v>1260</v>
      </c>
      <c r="F52" s="13" t="s">
        <v>646</v>
      </c>
      <c r="G52" s="13" t="s">
        <v>647</v>
      </c>
      <c r="H52" s="13" t="s">
        <v>48</v>
      </c>
      <c r="I52" s="13" t="s">
        <v>648</v>
      </c>
      <c r="J52" s="13" t="s">
        <v>649</v>
      </c>
      <c r="K52" s="13" t="s">
        <v>16</v>
      </c>
      <c r="L52" s="13"/>
      <c r="M52" s="18" t="s">
        <v>2248</v>
      </c>
    </row>
    <row r="53" spans="1:13" ht="21" x14ac:dyDescent="0.25">
      <c r="A53" s="25">
        <v>65</v>
      </c>
      <c r="B53" s="25">
        <v>65</v>
      </c>
      <c r="C53" s="24" t="str">
        <f t="shared" si="0"/>
        <v>A65</v>
      </c>
      <c r="D53" s="13" t="s">
        <v>650</v>
      </c>
      <c r="E53" s="13" t="s">
        <v>1261</v>
      </c>
      <c r="F53" s="13" t="s">
        <v>1343</v>
      </c>
      <c r="G53" s="13" t="s">
        <v>0</v>
      </c>
      <c r="H53" s="13" t="s">
        <v>13</v>
      </c>
      <c r="I53" s="13">
        <v>0</v>
      </c>
      <c r="J53" s="13" t="s">
        <v>10</v>
      </c>
      <c r="K53" s="13" t="s">
        <v>11</v>
      </c>
      <c r="L53" s="13"/>
      <c r="M53" s="18"/>
    </row>
    <row r="54" spans="1:13" ht="21" x14ac:dyDescent="0.25">
      <c r="A54" s="25">
        <v>66</v>
      </c>
      <c r="B54" s="25">
        <v>66</v>
      </c>
      <c r="C54" s="24" t="str">
        <f t="shared" ref="C54:C78" si="1">"A"&amp;B54</f>
        <v>A66</v>
      </c>
      <c r="D54" s="13" t="s">
        <v>651</v>
      </c>
      <c r="E54" s="13" t="s">
        <v>1262</v>
      </c>
      <c r="F54" s="13" t="s">
        <v>652</v>
      </c>
      <c r="G54" s="13" t="s">
        <v>0</v>
      </c>
      <c r="H54" s="13" t="s">
        <v>13</v>
      </c>
      <c r="I54" s="13">
        <v>0</v>
      </c>
      <c r="J54" s="13" t="s">
        <v>27</v>
      </c>
      <c r="K54" s="13" t="s">
        <v>16</v>
      </c>
      <c r="L54" s="13"/>
      <c r="M54" s="18" t="s">
        <v>2248</v>
      </c>
    </row>
    <row r="55" spans="1:13" ht="21" x14ac:dyDescent="0.25">
      <c r="A55" s="23">
        <v>67</v>
      </c>
      <c r="B55" s="23">
        <v>67</v>
      </c>
      <c r="C55" s="24" t="str">
        <f t="shared" si="1"/>
        <v>A67</v>
      </c>
      <c r="D55" s="13" t="s">
        <v>85</v>
      </c>
      <c r="E55" s="13" t="s">
        <v>1829</v>
      </c>
      <c r="F55" s="13" t="s">
        <v>1344</v>
      </c>
      <c r="G55" s="13" t="s">
        <v>7</v>
      </c>
      <c r="H55" s="13" t="s">
        <v>18</v>
      </c>
      <c r="I55" s="13" t="s">
        <v>9</v>
      </c>
      <c r="J55" s="13" t="s">
        <v>10</v>
      </c>
      <c r="K55" s="13" t="s">
        <v>11</v>
      </c>
      <c r="L55" s="13"/>
      <c r="M55" s="18" t="s">
        <v>2246</v>
      </c>
    </row>
    <row r="56" spans="1:13" x14ac:dyDescent="0.25">
      <c r="A56" s="23">
        <v>68</v>
      </c>
      <c r="B56" s="23">
        <v>68</v>
      </c>
      <c r="C56" s="24" t="str">
        <f t="shared" si="1"/>
        <v>A68</v>
      </c>
      <c r="D56" s="13" t="s">
        <v>86</v>
      </c>
      <c r="E56" s="13" t="s">
        <v>1268</v>
      </c>
      <c r="F56" s="13" t="s">
        <v>1345</v>
      </c>
      <c r="G56" s="13" t="s">
        <v>0</v>
      </c>
      <c r="H56" s="13" t="s">
        <v>13</v>
      </c>
      <c r="I56" s="13">
        <v>0</v>
      </c>
      <c r="J56" s="13" t="s">
        <v>27</v>
      </c>
      <c r="K56" s="13" t="s">
        <v>16</v>
      </c>
      <c r="L56" s="13"/>
      <c r="M56" s="18" t="s">
        <v>2246</v>
      </c>
    </row>
    <row r="57" spans="1:13" ht="21" x14ac:dyDescent="0.25">
      <c r="A57" s="23">
        <v>69</v>
      </c>
      <c r="B57" s="23">
        <v>69</v>
      </c>
      <c r="C57" s="24" t="str">
        <f t="shared" si="1"/>
        <v>A69</v>
      </c>
      <c r="D57" s="13" t="s">
        <v>88</v>
      </c>
      <c r="E57" s="13" t="s">
        <v>87</v>
      </c>
      <c r="F57" s="13" t="s">
        <v>1346</v>
      </c>
      <c r="G57" s="13" t="s">
        <v>0</v>
      </c>
      <c r="H57" s="13" t="s">
        <v>13</v>
      </c>
      <c r="I57" s="13" t="s">
        <v>9</v>
      </c>
      <c r="J57" s="13" t="s">
        <v>10</v>
      </c>
      <c r="K57" s="13" t="s">
        <v>11</v>
      </c>
      <c r="L57" s="13"/>
      <c r="M57" s="18" t="s">
        <v>2246</v>
      </c>
    </row>
    <row r="58" spans="1:13" ht="21" x14ac:dyDescent="0.25">
      <c r="A58" s="23">
        <v>70</v>
      </c>
      <c r="B58" s="23">
        <v>70</v>
      </c>
      <c r="C58" s="24" t="str">
        <f t="shared" si="1"/>
        <v>A70</v>
      </c>
      <c r="D58" s="13" t="s">
        <v>90</v>
      </c>
      <c r="E58" s="13" t="s">
        <v>89</v>
      </c>
      <c r="F58" s="13" t="s">
        <v>1347</v>
      </c>
      <c r="G58" s="13" t="s">
        <v>0</v>
      </c>
      <c r="H58" s="13" t="s">
        <v>18</v>
      </c>
      <c r="I58" s="13" t="s">
        <v>9</v>
      </c>
      <c r="J58" s="13" t="s">
        <v>10</v>
      </c>
      <c r="K58" s="13" t="s">
        <v>11</v>
      </c>
      <c r="L58" s="13"/>
      <c r="M58" s="18" t="s">
        <v>2246</v>
      </c>
    </row>
    <row r="59" spans="1:13" ht="31.5" x14ac:dyDescent="0.25">
      <c r="A59" s="23">
        <v>71</v>
      </c>
      <c r="B59" s="23">
        <v>71</v>
      </c>
      <c r="C59" s="24" t="str">
        <f t="shared" si="1"/>
        <v>A71</v>
      </c>
      <c r="D59" s="13" t="s">
        <v>91</v>
      </c>
      <c r="E59" s="13" t="s">
        <v>1830</v>
      </c>
      <c r="F59" s="13" t="s">
        <v>1831</v>
      </c>
      <c r="G59" s="13" t="s">
        <v>0</v>
      </c>
      <c r="H59" s="13" t="s">
        <v>13</v>
      </c>
      <c r="I59" s="13">
        <v>0</v>
      </c>
      <c r="J59" s="13" t="s">
        <v>27</v>
      </c>
      <c r="K59" s="13" t="s">
        <v>16</v>
      </c>
      <c r="L59" s="13"/>
      <c r="M59" s="18" t="s">
        <v>2246</v>
      </c>
    </row>
    <row r="60" spans="1:13" ht="21" x14ac:dyDescent="0.25">
      <c r="A60" s="23">
        <v>73</v>
      </c>
      <c r="B60" s="23">
        <v>73</v>
      </c>
      <c r="C60" s="24" t="str">
        <f t="shared" si="1"/>
        <v>A73</v>
      </c>
      <c r="D60" s="13" t="s">
        <v>93</v>
      </c>
      <c r="E60" s="13" t="s">
        <v>92</v>
      </c>
      <c r="F60" s="13" t="s">
        <v>1348</v>
      </c>
      <c r="G60" s="13" t="s">
        <v>0</v>
      </c>
      <c r="H60" s="13" t="s">
        <v>18</v>
      </c>
      <c r="I60" s="13" t="s">
        <v>9</v>
      </c>
      <c r="J60" s="13" t="s">
        <v>10</v>
      </c>
      <c r="K60" s="13" t="s">
        <v>11</v>
      </c>
      <c r="L60" s="13"/>
      <c r="M60" s="18" t="s">
        <v>2246</v>
      </c>
    </row>
    <row r="61" spans="1:13" ht="21" x14ac:dyDescent="0.25">
      <c r="A61" s="23">
        <v>74</v>
      </c>
      <c r="B61" s="23">
        <v>74</v>
      </c>
      <c r="C61" s="24" t="str">
        <f t="shared" si="1"/>
        <v>A74</v>
      </c>
      <c r="D61" s="13" t="s">
        <v>653</v>
      </c>
      <c r="E61" s="13" t="s">
        <v>454</v>
      </c>
      <c r="F61" s="13" t="s">
        <v>1349</v>
      </c>
      <c r="G61" s="13" t="s">
        <v>0</v>
      </c>
      <c r="H61" s="13" t="s">
        <v>13</v>
      </c>
      <c r="I61" s="13" t="s">
        <v>9</v>
      </c>
      <c r="J61" s="13" t="s">
        <v>10</v>
      </c>
      <c r="K61" s="13" t="s">
        <v>11</v>
      </c>
      <c r="L61" s="13"/>
      <c r="M61" s="18" t="s">
        <v>2246</v>
      </c>
    </row>
    <row r="62" spans="1:13" ht="21" x14ac:dyDescent="0.25">
      <c r="A62" s="23">
        <v>75</v>
      </c>
      <c r="B62" s="23">
        <v>75</v>
      </c>
      <c r="C62" s="24" t="str">
        <f t="shared" si="1"/>
        <v>A75</v>
      </c>
      <c r="D62" s="13" t="s">
        <v>654</v>
      </c>
      <c r="E62" s="13" t="s">
        <v>498</v>
      </c>
      <c r="F62" s="13" t="s">
        <v>1351</v>
      </c>
      <c r="G62" s="13" t="s">
        <v>0</v>
      </c>
      <c r="H62" s="13" t="s">
        <v>18</v>
      </c>
      <c r="I62" s="13" t="s">
        <v>9</v>
      </c>
      <c r="J62" s="13" t="s">
        <v>10</v>
      </c>
      <c r="K62" s="13" t="s">
        <v>11</v>
      </c>
      <c r="L62" s="13"/>
      <c r="M62" s="18" t="s">
        <v>2246</v>
      </c>
    </row>
    <row r="63" spans="1:13" ht="21" x14ac:dyDescent="0.25">
      <c r="A63" s="23">
        <v>76</v>
      </c>
      <c r="B63" s="23">
        <v>76</v>
      </c>
      <c r="C63" s="24" t="str">
        <f t="shared" si="1"/>
        <v>A76</v>
      </c>
      <c r="D63" s="13" t="s">
        <v>655</v>
      </c>
      <c r="E63" s="13" t="s">
        <v>455</v>
      </c>
      <c r="F63" s="13" t="s">
        <v>1350</v>
      </c>
      <c r="G63" s="13" t="s">
        <v>0</v>
      </c>
      <c r="H63" s="13" t="s">
        <v>13</v>
      </c>
      <c r="I63" s="13" t="s">
        <v>9</v>
      </c>
      <c r="J63" s="13" t="s">
        <v>10</v>
      </c>
      <c r="K63" s="13" t="s">
        <v>11</v>
      </c>
      <c r="L63" s="13"/>
      <c r="M63" s="18" t="s">
        <v>2246</v>
      </c>
    </row>
    <row r="64" spans="1:13" ht="21" x14ac:dyDescent="0.25">
      <c r="A64" s="23">
        <v>77</v>
      </c>
      <c r="B64" s="23">
        <v>77</v>
      </c>
      <c r="C64" s="24" t="str">
        <f t="shared" si="1"/>
        <v>A77</v>
      </c>
      <c r="D64" s="13" t="s">
        <v>656</v>
      </c>
      <c r="E64" s="13" t="s">
        <v>499</v>
      </c>
      <c r="F64" s="13" t="s">
        <v>1352</v>
      </c>
      <c r="G64" s="13" t="s">
        <v>0</v>
      </c>
      <c r="H64" s="13" t="s">
        <v>18</v>
      </c>
      <c r="I64" s="13" t="s">
        <v>9</v>
      </c>
      <c r="J64" s="13" t="s">
        <v>10</v>
      </c>
      <c r="K64" s="13" t="s">
        <v>11</v>
      </c>
      <c r="L64" s="13"/>
      <c r="M64" s="18" t="s">
        <v>2246</v>
      </c>
    </row>
    <row r="65" spans="1:13" ht="21" x14ac:dyDescent="0.25">
      <c r="A65" s="23">
        <v>78</v>
      </c>
      <c r="B65" s="23">
        <v>78</v>
      </c>
      <c r="C65" s="24" t="str">
        <f t="shared" si="1"/>
        <v>A78</v>
      </c>
      <c r="D65" s="13" t="s">
        <v>657</v>
      </c>
      <c r="E65" s="13" t="s">
        <v>456</v>
      </c>
      <c r="F65" s="13" t="s">
        <v>1324</v>
      </c>
      <c r="G65" s="13" t="s">
        <v>0</v>
      </c>
      <c r="H65" s="13" t="s">
        <v>13</v>
      </c>
      <c r="I65" s="13" t="s">
        <v>9</v>
      </c>
      <c r="J65" s="13" t="s">
        <v>10</v>
      </c>
      <c r="K65" s="13" t="s">
        <v>11</v>
      </c>
      <c r="L65" s="13"/>
      <c r="M65" s="18" t="s">
        <v>2246</v>
      </c>
    </row>
    <row r="66" spans="1:13" x14ac:dyDescent="0.25">
      <c r="A66" s="23">
        <v>80</v>
      </c>
      <c r="B66" s="23">
        <v>80</v>
      </c>
      <c r="C66" s="24" t="str">
        <f t="shared" si="1"/>
        <v>A80</v>
      </c>
      <c r="D66" s="13" t="s">
        <v>94</v>
      </c>
      <c r="E66" s="13" t="s">
        <v>500</v>
      </c>
      <c r="F66" s="13" t="s">
        <v>1353</v>
      </c>
      <c r="G66" s="13" t="s">
        <v>45</v>
      </c>
      <c r="H66" s="13" t="s">
        <v>13</v>
      </c>
      <c r="I66" s="13">
        <v>0</v>
      </c>
      <c r="J66" s="13" t="s">
        <v>27</v>
      </c>
      <c r="K66" s="13" t="s">
        <v>11</v>
      </c>
      <c r="L66" s="13"/>
      <c r="M66" s="18" t="s">
        <v>2246</v>
      </c>
    </row>
    <row r="67" spans="1:13" x14ac:dyDescent="0.25">
      <c r="A67" s="23">
        <v>81</v>
      </c>
      <c r="B67" s="23">
        <v>81</v>
      </c>
      <c r="C67" s="24" t="str">
        <f t="shared" si="1"/>
        <v>A81</v>
      </c>
      <c r="D67" s="13" t="s">
        <v>95</v>
      </c>
      <c r="E67" s="13" t="s">
        <v>501</v>
      </c>
      <c r="F67" s="13" t="s">
        <v>1354</v>
      </c>
      <c r="G67" s="13" t="s">
        <v>45</v>
      </c>
      <c r="H67" s="13" t="s">
        <v>13</v>
      </c>
      <c r="I67" s="13">
        <v>0</v>
      </c>
      <c r="J67" s="13" t="s">
        <v>27</v>
      </c>
      <c r="K67" s="13" t="s">
        <v>11</v>
      </c>
      <c r="L67" s="13"/>
      <c r="M67" s="18" t="s">
        <v>2246</v>
      </c>
    </row>
    <row r="68" spans="1:13" x14ac:dyDescent="0.25">
      <c r="A68" s="23">
        <v>82</v>
      </c>
      <c r="B68" s="23">
        <v>82</v>
      </c>
      <c r="C68" s="24" t="str">
        <f t="shared" si="1"/>
        <v>A82</v>
      </c>
      <c r="D68" s="13" t="s">
        <v>96</v>
      </c>
      <c r="E68" s="13" t="s">
        <v>502</v>
      </c>
      <c r="F68" s="13" t="s">
        <v>1355</v>
      </c>
      <c r="G68" s="13" t="s">
        <v>45</v>
      </c>
      <c r="H68" s="13" t="s">
        <v>13</v>
      </c>
      <c r="I68" s="13">
        <v>0</v>
      </c>
      <c r="J68" s="13" t="s">
        <v>27</v>
      </c>
      <c r="K68" s="13" t="s">
        <v>11</v>
      </c>
      <c r="L68" s="13"/>
      <c r="M68" s="18" t="s">
        <v>2246</v>
      </c>
    </row>
    <row r="69" spans="1:13" ht="21" x14ac:dyDescent="0.25">
      <c r="A69" s="23">
        <v>83</v>
      </c>
      <c r="B69" s="23">
        <v>83</v>
      </c>
      <c r="C69" s="24" t="str">
        <f t="shared" si="1"/>
        <v>A83</v>
      </c>
      <c r="D69" s="13" t="s">
        <v>98</v>
      </c>
      <c r="E69" s="13" t="s">
        <v>97</v>
      </c>
      <c r="F69" s="13" t="s">
        <v>1356</v>
      </c>
      <c r="G69" s="13" t="s">
        <v>0</v>
      </c>
      <c r="H69" s="13" t="s">
        <v>18</v>
      </c>
      <c r="I69" s="13" t="s">
        <v>9</v>
      </c>
      <c r="J69" s="13" t="s">
        <v>10</v>
      </c>
      <c r="K69" s="13" t="s">
        <v>11</v>
      </c>
      <c r="L69" s="13"/>
      <c r="M69" s="18" t="s">
        <v>2246</v>
      </c>
    </row>
    <row r="70" spans="1:13" ht="21" x14ac:dyDescent="0.25">
      <c r="A70" s="23">
        <v>84</v>
      </c>
      <c r="B70" s="23">
        <v>84</v>
      </c>
      <c r="C70" s="24" t="str">
        <f t="shared" si="1"/>
        <v>A84</v>
      </c>
      <c r="D70" s="13" t="s">
        <v>100</v>
      </c>
      <c r="E70" s="13" t="s">
        <v>1832</v>
      </c>
      <c r="F70" s="13" t="s">
        <v>1833</v>
      </c>
      <c r="G70" s="13" t="s">
        <v>0</v>
      </c>
      <c r="H70" s="13" t="s">
        <v>99</v>
      </c>
      <c r="I70" s="13">
        <v>0</v>
      </c>
      <c r="J70" s="13" t="s">
        <v>20</v>
      </c>
      <c r="K70" s="13" t="s">
        <v>11</v>
      </c>
      <c r="L70" s="13"/>
      <c r="M70" s="18" t="s">
        <v>2246</v>
      </c>
    </row>
    <row r="71" spans="1:13" ht="21" x14ac:dyDescent="0.25">
      <c r="A71" s="23">
        <v>85</v>
      </c>
      <c r="B71" s="23">
        <v>85</v>
      </c>
      <c r="C71" s="24" t="str">
        <f t="shared" si="1"/>
        <v>A85</v>
      </c>
      <c r="D71" s="13" t="s">
        <v>101</v>
      </c>
      <c r="E71" s="13" t="s">
        <v>1840</v>
      </c>
      <c r="F71" s="13" t="s">
        <v>1834</v>
      </c>
      <c r="G71" s="13" t="s">
        <v>0</v>
      </c>
      <c r="H71" s="13" t="s">
        <v>99</v>
      </c>
      <c r="I71" s="13">
        <v>0</v>
      </c>
      <c r="J71" s="13" t="s">
        <v>20</v>
      </c>
      <c r="K71" s="13" t="s">
        <v>11</v>
      </c>
      <c r="L71" s="13"/>
      <c r="M71" s="18" t="s">
        <v>2246</v>
      </c>
    </row>
    <row r="72" spans="1:13" ht="21" x14ac:dyDescent="0.25">
      <c r="A72" s="23">
        <v>86</v>
      </c>
      <c r="B72" s="23">
        <v>86</v>
      </c>
      <c r="C72" s="24" t="str">
        <f t="shared" si="1"/>
        <v>A86</v>
      </c>
      <c r="D72" s="13" t="s">
        <v>102</v>
      </c>
      <c r="E72" s="13" t="s">
        <v>1841</v>
      </c>
      <c r="F72" s="13" t="s">
        <v>1835</v>
      </c>
      <c r="G72" s="13" t="s">
        <v>0</v>
      </c>
      <c r="H72" s="13" t="s">
        <v>99</v>
      </c>
      <c r="I72" s="13">
        <v>0</v>
      </c>
      <c r="J72" s="13" t="s">
        <v>20</v>
      </c>
      <c r="K72" s="13" t="s">
        <v>11</v>
      </c>
      <c r="L72" s="13"/>
      <c r="M72" s="18" t="s">
        <v>2246</v>
      </c>
    </row>
    <row r="73" spans="1:13" ht="21" x14ac:dyDescent="0.25">
      <c r="A73" s="23">
        <v>87</v>
      </c>
      <c r="B73" s="23">
        <v>87</v>
      </c>
      <c r="C73" s="24" t="str">
        <f t="shared" si="1"/>
        <v>A87</v>
      </c>
      <c r="D73" s="13" t="s">
        <v>104</v>
      </c>
      <c r="E73" s="13" t="s">
        <v>1842</v>
      </c>
      <c r="F73" s="13" t="s">
        <v>1836</v>
      </c>
      <c r="G73" s="13" t="s">
        <v>0</v>
      </c>
      <c r="H73" s="13" t="s">
        <v>103</v>
      </c>
      <c r="I73" s="13">
        <v>0</v>
      </c>
      <c r="J73" s="13" t="s">
        <v>20</v>
      </c>
      <c r="K73" s="13" t="s">
        <v>11</v>
      </c>
      <c r="L73" s="13"/>
      <c r="M73" s="18" t="s">
        <v>2246</v>
      </c>
    </row>
    <row r="74" spans="1:13" ht="21" x14ac:dyDescent="0.25">
      <c r="A74" s="23">
        <v>88</v>
      </c>
      <c r="B74" s="23">
        <v>88</v>
      </c>
      <c r="C74" s="24" t="str">
        <f t="shared" si="1"/>
        <v>A88</v>
      </c>
      <c r="D74" s="13" t="s">
        <v>105</v>
      </c>
      <c r="E74" s="13" t="s">
        <v>1843</v>
      </c>
      <c r="F74" s="13" t="s">
        <v>1837</v>
      </c>
      <c r="G74" s="13" t="s">
        <v>0</v>
      </c>
      <c r="H74" s="13" t="s">
        <v>103</v>
      </c>
      <c r="I74" s="13">
        <v>0</v>
      </c>
      <c r="J74" s="13" t="s">
        <v>20</v>
      </c>
      <c r="K74" s="13" t="s">
        <v>11</v>
      </c>
      <c r="L74" s="13"/>
      <c r="M74" s="18" t="s">
        <v>2246</v>
      </c>
    </row>
    <row r="75" spans="1:13" ht="21" x14ac:dyDescent="0.25">
      <c r="A75" s="23">
        <v>89</v>
      </c>
      <c r="B75" s="23">
        <v>89</v>
      </c>
      <c r="C75" s="24" t="str">
        <f t="shared" si="1"/>
        <v>A89</v>
      </c>
      <c r="D75" s="13" t="s">
        <v>106</v>
      </c>
      <c r="E75" s="13" t="s">
        <v>1844</v>
      </c>
      <c r="F75" s="13" t="s">
        <v>1838</v>
      </c>
      <c r="G75" s="13" t="s">
        <v>0</v>
      </c>
      <c r="H75" s="13" t="s">
        <v>103</v>
      </c>
      <c r="I75" s="13">
        <v>0</v>
      </c>
      <c r="J75" s="13" t="s">
        <v>20</v>
      </c>
      <c r="K75" s="13" t="s">
        <v>11</v>
      </c>
      <c r="L75" s="13"/>
      <c r="M75" s="18" t="s">
        <v>2246</v>
      </c>
    </row>
    <row r="76" spans="1:13" ht="21" x14ac:dyDescent="0.25">
      <c r="A76" s="23">
        <v>90</v>
      </c>
      <c r="B76" s="23">
        <v>90</v>
      </c>
      <c r="C76" s="24" t="str">
        <f t="shared" si="1"/>
        <v>A90</v>
      </c>
      <c r="D76" s="13" t="s">
        <v>108</v>
      </c>
      <c r="E76" s="13" t="s">
        <v>1845</v>
      </c>
      <c r="F76" s="13" t="s">
        <v>1839</v>
      </c>
      <c r="G76" s="13" t="s">
        <v>0</v>
      </c>
      <c r="H76" s="13" t="s">
        <v>107</v>
      </c>
      <c r="I76" s="13">
        <v>0</v>
      </c>
      <c r="J76" s="13" t="s">
        <v>20</v>
      </c>
      <c r="K76" s="13" t="s">
        <v>11</v>
      </c>
      <c r="L76" s="13"/>
      <c r="M76" s="18" t="s">
        <v>2246</v>
      </c>
    </row>
    <row r="77" spans="1:13" ht="21" x14ac:dyDescent="0.25">
      <c r="A77" s="23">
        <v>91</v>
      </c>
      <c r="B77" s="23">
        <v>91</v>
      </c>
      <c r="C77" s="24" t="str">
        <f t="shared" si="1"/>
        <v>A91</v>
      </c>
      <c r="D77" s="13" t="s">
        <v>109</v>
      </c>
      <c r="E77" s="13" t="s">
        <v>1846</v>
      </c>
      <c r="F77" s="13" t="s">
        <v>1836</v>
      </c>
      <c r="G77" s="13" t="s">
        <v>0</v>
      </c>
      <c r="H77" s="13" t="s">
        <v>103</v>
      </c>
      <c r="I77" s="13">
        <v>0</v>
      </c>
      <c r="J77" s="13" t="s">
        <v>20</v>
      </c>
      <c r="K77" s="13" t="s">
        <v>11</v>
      </c>
      <c r="L77" s="13"/>
      <c r="M77" s="18" t="s">
        <v>2246</v>
      </c>
    </row>
    <row r="78" spans="1:13" ht="21" x14ac:dyDescent="0.25">
      <c r="A78" s="23">
        <v>92</v>
      </c>
      <c r="B78" s="23">
        <v>92</v>
      </c>
      <c r="C78" s="24" t="str">
        <f t="shared" si="1"/>
        <v>A92</v>
      </c>
      <c r="D78" s="13" t="s">
        <v>110</v>
      </c>
      <c r="E78" s="13" t="s">
        <v>1847</v>
      </c>
      <c r="F78" s="13" t="s">
        <v>1837</v>
      </c>
      <c r="G78" s="13" t="s">
        <v>0</v>
      </c>
      <c r="H78" s="13" t="s">
        <v>103</v>
      </c>
      <c r="I78" s="13">
        <v>0</v>
      </c>
      <c r="J78" s="13" t="s">
        <v>20</v>
      </c>
      <c r="K78" s="13" t="s">
        <v>11</v>
      </c>
      <c r="L78" s="13"/>
      <c r="M78" s="18" t="s">
        <v>2246</v>
      </c>
    </row>
    <row r="79" spans="1:13" ht="21" x14ac:dyDescent="0.25">
      <c r="A79" s="23">
        <v>94</v>
      </c>
      <c r="B79" s="23">
        <v>94</v>
      </c>
      <c r="C79" s="24" t="str">
        <f t="shared" ref="C79:C114" si="2">"A"&amp;B79</f>
        <v>A94</v>
      </c>
      <c r="D79" s="13" t="s">
        <v>111</v>
      </c>
      <c r="E79" s="13" t="s">
        <v>1848</v>
      </c>
      <c r="F79" s="13" t="s">
        <v>1857</v>
      </c>
      <c r="G79" s="13" t="s">
        <v>0</v>
      </c>
      <c r="H79" s="13" t="s">
        <v>103</v>
      </c>
      <c r="I79" s="13">
        <v>0</v>
      </c>
      <c r="J79" s="13" t="s">
        <v>20</v>
      </c>
      <c r="K79" s="13" t="s">
        <v>11</v>
      </c>
      <c r="L79" s="13"/>
      <c r="M79" s="18" t="s">
        <v>2246</v>
      </c>
    </row>
    <row r="80" spans="1:13" ht="21" x14ac:dyDescent="0.25">
      <c r="A80" s="23">
        <v>95</v>
      </c>
      <c r="B80" s="23">
        <v>95</v>
      </c>
      <c r="C80" s="24" t="str">
        <f t="shared" si="2"/>
        <v>A95</v>
      </c>
      <c r="D80" s="13" t="s">
        <v>112</v>
      </c>
      <c r="E80" s="13" t="s">
        <v>1849</v>
      </c>
      <c r="F80" s="13" t="s">
        <v>1858</v>
      </c>
      <c r="G80" s="13" t="s">
        <v>0</v>
      </c>
      <c r="H80" s="13" t="s">
        <v>103</v>
      </c>
      <c r="I80" s="13">
        <v>0</v>
      </c>
      <c r="J80" s="13" t="s">
        <v>20</v>
      </c>
      <c r="K80" s="13" t="s">
        <v>11</v>
      </c>
      <c r="L80" s="13"/>
      <c r="M80" s="18" t="s">
        <v>2246</v>
      </c>
    </row>
    <row r="81" spans="1:13" ht="21" x14ac:dyDescent="0.25">
      <c r="A81" s="23">
        <v>96</v>
      </c>
      <c r="B81" s="23">
        <v>96</v>
      </c>
      <c r="C81" s="24" t="str">
        <f t="shared" si="2"/>
        <v>A96</v>
      </c>
      <c r="D81" s="13" t="s">
        <v>113</v>
      </c>
      <c r="E81" s="13" t="s">
        <v>1850</v>
      </c>
      <c r="F81" s="13" t="s">
        <v>1859</v>
      </c>
      <c r="G81" s="13" t="s">
        <v>0</v>
      </c>
      <c r="H81" s="13" t="s">
        <v>43</v>
      </c>
      <c r="I81" s="13">
        <v>0</v>
      </c>
      <c r="J81" s="13" t="s">
        <v>20</v>
      </c>
      <c r="K81" s="13" t="s">
        <v>11</v>
      </c>
      <c r="L81" s="13"/>
      <c r="M81" s="18" t="s">
        <v>2246</v>
      </c>
    </row>
    <row r="82" spans="1:13" ht="21" x14ac:dyDescent="0.25">
      <c r="A82" s="23">
        <v>97</v>
      </c>
      <c r="B82" s="23">
        <v>97</v>
      </c>
      <c r="C82" s="24" t="str">
        <f t="shared" si="2"/>
        <v>A97</v>
      </c>
      <c r="D82" s="13" t="s">
        <v>114</v>
      </c>
      <c r="E82" s="13" t="s">
        <v>1851</v>
      </c>
      <c r="F82" s="13" t="s">
        <v>1860</v>
      </c>
      <c r="G82" s="13" t="s">
        <v>0</v>
      </c>
      <c r="H82" s="13" t="s">
        <v>43</v>
      </c>
      <c r="I82" s="13">
        <v>0</v>
      </c>
      <c r="J82" s="13" t="s">
        <v>20</v>
      </c>
      <c r="K82" s="13" t="s">
        <v>11</v>
      </c>
      <c r="L82" s="13"/>
      <c r="M82" s="18" t="s">
        <v>2246</v>
      </c>
    </row>
    <row r="83" spans="1:13" ht="21" x14ac:dyDescent="0.25">
      <c r="A83" s="23">
        <v>98</v>
      </c>
      <c r="B83" s="23">
        <v>98</v>
      </c>
      <c r="C83" s="24" t="str">
        <f t="shared" si="2"/>
        <v>A98</v>
      </c>
      <c r="D83" s="13" t="s">
        <v>115</v>
      </c>
      <c r="E83" s="13" t="s">
        <v>1852</v>
      </c>
      <c r="F83" s="13" t="s">
        <v>1861</v>
      </c>
      <c r="G83" s="13" t="s">
        <v>0</v>
      </c>
      <c r="H83" s="13" t="s">
        <v>43</v>
      </c>
      <c r="I83" s="13">
        <v>0</v>
      </c>
      <c r="J83" s="13" t="s">
        <v>20</v>
      </c>
      <c r="K83" s="13" t="s">
        <v>11</v>
      </c>
      <c r="L83" s="13"/>
      <c r="M83" s="18" t="s">
        <v>2246</v>
      </c>
    </row>
    <row r="84" spans="1:13" ht="21" x14ac:dyDescent="0.25">
      <c r="A84" s="23">
        <v>100</v>
      </c>
      <c r="B84" s="23">
        <v>100</v>
      </c>
      <c r="C84" s="24" t="str">
        <f t="shared" si="2"/>
        <v>A100</v>
      </c>
      <c r="D84" s="13" t="s">
        <v>117</v>
      </c>
      <c r="E84" s="13" t="s">
        <v>1853</v>
      </c>
      <c r="F84" s="13" t="s">
        <v>1862</v>
      </c>
      <c r="G84" s="13" t="s">
        <v>0</v>
      </c>
      <c r="H84" s="13" t="s">
        <v>13</v>
      </c>
      <c r="I84" s="13" t="s">
        <v>116</v>
      </c>
      <c r="J84" s="13" t="s">
        <v>10</v>
      </c>
      <c r="K84" s="13" t="s">
        <v>16</v>
      </c>
      <c r="L84" s="13"/>
      <c r="M84" s="18" t="s">
        <v>2246</v>
      </c>
    </row>
    <row r="85" spans="1:13" ht="21" x14ac:dyDescent="0.25">
      <c r="A85" s="23">
        <v>101</v>
      </c>
      <c r="B85" s="23">
        <v>101</v>
      </c>
      <c r="C85" s="24" t="str">
        <f t="shared" si="2"/>
        <v>A101</v>
      </c>
      <c r="D85" s="13" t="s">
        <v>118</v>
      </c>
      <c r="E85" s="13" t="s">
        <v>1854</v>
      </c>
      <c r="F85" s="13" t="s">
        <v>1863</v>
      </c>
      <c r="G85" s="13" t="s">
        <v>0</v>
      </c>
      <c r="H85" s="13" t="s">
        <v>13</v>
      </c>
      <c r="I85" s="13">
        <v>0</v>
      </c>
      <c r="J85" s="13" t="s">
        <v>10</v>
      </c>
      <c r="K85" s="13" t="s">
        <v>16</v>
      </c>
      <c r="L85" s="13"/>
      <c r="M85" s="18" t="s">
        <v>2246</v>
      </c>
    </row>
    <row r="86" spans="1:13" ht="21" x14ac:dyDescent="0.25">
      <c r="A86" s="23">
        <v>102</v>
      </c>
      <c r="B86" s="23">
        <v>102</v>
      </c>
      <c r="C86" s="24" t="str">
        <f t="shared" si="2"/>
        <v>A102</v>
      </c>
      <c r="D86" s="13" t="s">
        <v>119</v>
      </c>
      <c r="E86" s="13" t="s">
        <v>1855</v>
      </c>
      <c r="F86" s="13" t="s">
        <v>1864</v>
      </c>
      <c r="G86" s="13" t="s">
        <v>0</v>
      </c>
      <c r="H86" s="13" t="s">
        <v>13</v>
      </c>
      <c r="I86" s="13" t="s">
        <v>116</v>
      </c>
      <c r="J86" s="13" t="s">
        <v>10</v>
      </c>
      <c r="K86" s="13" t="s">
        <v>16</v>
      </c>
      <c r="L86" s="13"/>
      <c r="M86" s="18" t="s">
        <v>2246</v>
      </c>
    </row>
    <row r="87" spans="1:13" ht="21" x14ac:dyDescent="0.25">
      <c r="A87" s="23">
        <v>103</v>
      </c>
      <c r="B87" s="23">
        <v>103</v>
      </c>
      <c r="C87" s="24" t="str">
        <f t="shared" si="2"/>
        <v>A103</v>
      </c>
      <c r="D87" s="13" t="s">
        <v>120</v>
      </c>
      <c r="E87" s="13" t="s">
        <v>1856</v>
      </c>
      <c r="F87" s="13" t="s">
        <v>1865</v>
      </c>
      <c r="G87" s="13" t="s">
        <v>0</v>
      </c>
      <c r="H87" s="13" t="s">
        <v>13</v>
      </c>
      <c r="I87" s="13">
        <v>0</v>
      </c>
      <c r="J87" s="13" t="s">
        <v>10</v>
      </c>
      <c r="K87" s="13" t="s">
        <v>16</v>
      </c>
      <c r="L87" s="13"/>
      <c r="M87" s="18" t="s">
        <v>2246</v>
      </c>
    </row>
    <row r="88" spans="1:13" ht="21" x14ac:dyDescent="0.25">
      <c r="A88" s="23">
        <v>104</v>
      </c>
      <c r="B88" s="23">
        <v>104</v>
      </c>
      <c r="C88" s="24" t="str">
        <f t="shared" si="2"/>
        <v>A104</v>
      </c>
      <c r="D88" s="13" t="s">
        <v>121</v>
      </c>
      <c r="E88" s="13" t="s">
        <v>503</v>
      </c>
      <c r="F88" s="13" t="s">
        <v>1357</v>
      </c>
      <c r="G88" s="13" t="s">
        <v>7</v>
      </c>
      <c r="H88" s="13" t="s">
        <v>18</v>
      </c>
      <c r="I88" s="13" t="s">
        <v>9</v>
      </c>
      <c r="J88" s="13" t="s">
        <v>10</v>
      </c>
      <c r="K88" s="13" t="s">
        <v>11</v>
      </c>
      <c r="L88" s="13"/>
      <c r="M88" s="18" t="s">
        <v>2246</v>
      </c>
    </row>
    <row r="89" spans="1:13" ht="21" x14ac:dyDescent="0.25">
      <c r="A89" s="23">
        <v>105</v>
      </c>
      <c r="B89" s="23">
        <v>105</v>
      </c>
      <c r="C89" s="24" t="str">
        <f t="shared" si="2"/>
        <v>A105</v>
      </c>
      <c r="D89" s="13" t="s">
        <v>122</v>
      </c>
      <c r="E89" s="13" t="s">
        <v>504</v>
      </c>
      <c r="F89" s="13" t="s">
        <v>1358</v>
      </c>
      <c r="G89" s="13" t="s">
        <v>7</v>
      </c>
      <c r="H89" s="13" t="s">
        <v>18</v>
      </c>
      <c r="I89" s="13" t="s">
        <v>9</v>
      </c>
      <c r="J89" s="13" t="s">
        <v>10</v>
      </c>
      <c r="K89" s="13" t="s">
        <v>11</v>
      </c>
      <c r="L89" s="13"/>
      <c r="M89" s="18" t="s">
        <v>2246</v>
      </c>
    </row>
    <row r="90" spans="1:13" ht="21" x14ac:dyDescent="0.25">
      <c r="A90" s="23">
        <v>107</v>
      </c>
      <c r="B90" s="23">
        <v>107</v>
      </c>
      <c r="C90" s="24" t="str">
        <f t="shared" si="2"/>
        <v>A107</v>
      </c>
      <c r="D90" s="13" t="s">
        <v>123</v>
      </c>
      <c r="E90" s="13" t="s">
        <v>505</v>
      </c>
      <c r="F90" s="13" t="s">
        <v>1359</v>
      </c>
      <c r="G90" s="13" t="s">
        <v>7</v>
      </c>
      <c r="H90" s="13" t="s">
        <v>18</v>
      </c>
      <c r="I90" s="13" t="s">
        <v>9</v>
      </c>
      <c r="J90" s="13" t="s">
        <v>10</v>
      </c>
      <c r="K90" s="13" t="s">
        <v>11</v>
      </c>
      <c r="L90" s="13"/>
      <c r="M90" s="18" t="s">
        <v>2246</v>
      </c>
    </row>
    <row r="91" spans="1:13" ht="42" x14ac:dyDescent="0.25">
      <c r="A91" s="23">
        <v>108</v>
      </c>
      <c r="B91" s="23">
        <v>108</v>
      </c>
      <c r="C91" s="24" t="str">
        <f t="shared" si="2"/>
        <v>A108</v>
      </c>
      <c r="D91" s="13" t="s">
        <v>124</v>
      </c>
      <c r="E91" s="13" t="s">
        <v>1866</v>
      </c>
      <c r="F91" s="13" t="s">
        <v>1867</v>
      </c>
      <c r="G91" s="13" t="s">
        <v>0</v>
      </c>
      <c r="H91" s="13" t="s">
        <v>13</v>
      </c>
      <c r="I91" s="13" t="s">
        <v>9</v>
      </c>
      <c r="J91" s="13" t="s">
        <v>10</v>
      </c>
      <c r="K91" s="13" t="s">
        <v>11</v>
      </c>
      <c r="L91" s="13"/>
      <c r="M91" s="18" t="s">
        <v>2246</v>
      </c>
    </row>
    <row r="92" spans="1:13" ht="21" x14ac:dyDescent="0.25">
      <c r="A92" s="23">
        <v>109</v>
      </c>
      <c r="B92" s="23">
        <v>109</v>
      </c>
      <c r="C92" s="24" t="str">
        <f t="shared" si="2"/>
        <v>A109</v>
      </c>
      <c r="D92" s="13" t="s">
        <v>1805</v>
      </c>
      <c r="E92" s="13" t="s">
        <v>1806</v>
      </c>
      <c r="F92" s="13" t="s">
        <v>1812</v>
      </c>
      <c r="G92" s="13"/>
      <c r="H92" s="13" t="s">
        <v>13</v>
      </c>
      <c r="I92" s="13" t="s">
        <v>1808</v>
      </c>
      <c r="J92" s="13" t="s">
        <v>1807</v>
      </c>
      <c r="K92" s="13" t="s">
        <v>11</v>
      </c>
      <c r="L92" s="13"/>
      <c r="M92" s="18" t="s">
        <v>2246</v>
      </c>
    </row>
    <row r="93" spans="1:13" x14ac:dyDescent="0.25">
      <c r="A93" s="23">
        <v>110</v>
      </c>
      <c r="B93" s="23">
        <v>110</v>
      </c>
      <c r="C93" s="24" t="str">
        <f t="shared" si="2"/>
        <v>A110</v>
      </c>
      <c r="D93" s="13" t="s">
        <v>125</v>
      </c>
      <c r="E93" s="13" t="s">
        <v>1263</v>
      </c>
      <c r="F93" s="13" t="s">
        <v>658</v>
      </c>
      <c r="G93" s="13" t="s">
        <v>46</v>
      </c>
      <c r="H93" s="13" t="s">
        <v>8</v>
      </c>
      <c r="I93" s="13">
        <v>0</v>
      </c>
      <c r="J93" s="13" t="s">
        <v>27</v>
      </c>
      <c r="K93" s="13" t="s">
        <v>16</v>
      </c>
      <c r="L93" s="13"/>
      <c r="M93" s="18" t="s">
        <v>2246</v>
      </c>
    </row>
    <row r="94" spans="1:13" ht="21" x14ac:dyDescent="0.25">
      <c r="A94" s="23">
        <v>111</v>
      </c>
      <c r="B94" s="23">
        <v>111</v>
      </c>
      <c r="C94" s="24" t="str">
        <f t="shared" si="2"/>
        <v>A111</v>
      </c>
      <c r="D94" s="13" t="s">
        <v>126</v>
      </c>
      <c r="E94" s="13" t="s">
        <v>1868</v>
      </c>
      <c r="F94" s="13" t="s">
        <v>1872</v>
      </c>
      <c r="G94" s="13" t="s">
        <v>81</v>
      </c>
      <c r="H94" s="13" t="s">
        <v>33</v>
      </c>
      <c r="I94" s="13">
        <v>0</v>
      </c>
      <c r="J94" s="13" t="s">
        <v>10</v>
      </c>
      <c r="K94" s="13" t="s">
        <v>16</v>
      </c>
      <c r="L94" s="13"/>
      <c r="M94" s="18" t="s">
        <v>2246</v>
      </c>
    </row>
    <row r="95" spans="1:13" x14ac:dyDescent="0.25">
      <c r="A95" s="23">
        <v>112</v>
      </c>
      <c r="B95" s="23">
        <v>112</v>
      </c>
      <c r="C95" s="24" t="str">
        <f t="shared" si="2"/>
        <v>A112</v>
      </c>
      <c r="D95" s="13" t="s">
        <v>127</v>
      </c>
      <c r="E95" s="13" t="s">
        <v>1869</v>
      </c>
      <c r="F95" s="13" t="s">
        <v>1873</v>
      </c>
      <c r="G95" s="13" t="s">
        <v>81</v>
      </c>
      <c r="H95" s="13" t="s">
        <v>33</v>
      </c>
      <c r="I95" s="13">
        <v>0</v>
      </c>
      <c r="J95" s="13" t="s">
        <v>15</v>
      </c>
      <c r="K95" s="13" t="s">
        <v>16</v>
      </c>
      <c r="L95" s="13"/>
      <c r="M95" s="18" t="s">
        <v>2246</v>
      </c>
    </row>
    <row r="96" spans="1:13" ht="21" x14ac:dyDescent="0.25">
      <c r="A96" s="23">
        <v>113</v>
      </c>
      <c r="B96" s="23">
        <v>113</v>
      </c>
      <c r="C96" s="24" t="str">
        <f t="shared" si="2"/>
        <v>A113</v>
      </c>
      <c r="D96" s="13" t="s">
        <v>128</v>
      </c>
      <c r="E96" s="13" t="s">
        <v>1870</v>
      </c>
      <c r="F96" s="13" t="s">
        <v>1874</v>
      </c>
      <c r="G96" s="13" t="s">
        <v>81</v>
      </c>
      <c r="H96" s="13" t="s">
        <v>33</v>
      </c>
      <c r="I96" s="13">
        <v>0</v>
      </c>
      <c r="J96" s="13" t="s">
        <v>10</v>
      </c>
      <c r="K96" s="13" t="s">
        <v>16</v>
      </c>
      <c r="L96" s="13"/>
      <c r="M96" s="18" t="s">
        <v>2246</v>
      </c>
    </row>
    <row r="97" spans="1:13" ht="21" x14ac:dyDescent="0.25">
      <c r="A97" s="23">
        <v>114</v>
      </c>
      <c r="B97" s="23">
        <v>114</v>
      </c>
      <c r="C97" s="24" t="str">
        <f t="shared" si="2"/>
        <v>A114</v>
      </c>
      <c r="D97" s="13" t="s">
        <v>129</v>
      </c>
      <c r="E97" s="13" t="s">
        <v>1871</v>
      </c>
      <c r="F97" s="13" t="s">
        <v>1875</v>
      </c>
      <c r="G97" s="13" t="s">
        <v>81</v>
      </c>
      <c r="H97" s="13" t="s">
        <v>33</v>
      </c>
      <c r="I97" s="13">
        <v>0</v>
      </c>
      <c r="J97" s="13" t="s">
        <v>15</v>
      </c>
      <c r="K97" s="13" t="s">
        <v>16</v>
      </c>
      <c r="L97" s="13"/>
      <c r="M97" s="18" t="s">
        <v>2246</v>
      </c>
    </row>
    <row r="98" spans="1:13" ht="21" x14ac:dyDescent="0.25">
      <c r="A98" s="23">
        <v>115</v>
      </c>
      <c r="B98" s="23">
        <v>115</v>
      </c>
      <c r="C98" s="24" t="str">
        <f t="shared" si="2"/>
        <v>A115</v>
      </c>
      <c r="D98" s="13" t="s">
        <v>130</v>
      </c>
      <c r="E98" s="13" t="s">
        <v>1264</v>
      </c>
      <c r="F98" s="13" t="s">
        <v>1371</v>
      </c>
      <c r="G98" s="13" t="s">
        <v>0</v>
      </c>
      <c r="H98" s="13" t="s">
        <v>13</v>
      </c>
      <c r="I98" s="13" t="s">
        <v>9</v>
      </c>
      <c r="J98" s="13" t="s">
        <v>10</v>
      </c>
      <c r="K98" s="13" t="s">
        <v>11</v>
      </c>
      <c r="L98" s="13"/>
      <c r="M98" s="18" t="s">
        <v>2246</v>
      </c>
    </row>
    <row r="99" spans="1:13" ht="21" x14ac:dyDescent="0.25">
      <c r="A99" s="23">
        <v>116</v>
      </c>
      <c r="B99" s="23">
        <v>116</v>
      </c>
      <c r="C99" s="24" t="str">
        <f>"A"&amp;B99</f>
        <v>A116</v>
      </c>
      <c r="D99" s="13" t="s">
        <v>131</v>
      </c>
      <c r="E99" s="13" t="s">
        <v>1264</v>
      </c>
      <c r="F99" s="13" t="s">
        <v>1372</v>
      </c>
      <c r="G99" s="13" t="s">
        <v>0</v>
      </c>
      <c r="H99" s="13" t="s">
        <v>13</v>
      </c>
      <c r="I99" s="13" t="s">
        <v>9</v>
      </c>
      <c r="J99" s="13" t="s">
        <v>10</v>
      </c>
      <c r="K99" s="13" t="s">
        <v>11</v>
      </c>
      <c r="L99" s="13"/>
      <c r="M99" s="18" t="s">
        <v>2246</v>
      </c>
    </row>
    <row r="100" spans="1:13" ht="21" x14ac:dyDescent="0.25">
      <c r="A100" s="23">
        <v>117</v>
      </c>
      <c r="B100" s="23">
        <v>117</v>
      </c>
      <c r="C100" s="24" t="str">
        <f t="shared" si="2"/>
        <v>A117</v>
      </c>
      <c r="D100" s="13" t="s">
        <v>132</v>
      </c>
      <c r="E100" s="13" t="s">
        <v>1876</v>
      </c>
      <c r="F100" s="13" t="s">
        <v>1877</v>
      </c>
      <c r="G100" s="13" t="s">
        <v>0</v>
      </c>
      <c r="H100" s="13" t="s">
        <v>13</v>
      </c>
      <c r="I100" s="13" t="s">
        <v>9</v>
      </c>
      <c r="J100" s="13" t="s">
        <v>10</v>
      </c>
      <c r="K100" s="13" t="s">
        <v>11</v>
      </c>
      <c r="L100" s="13"/>
      <c r="M100" s="18" t="s">
        <v>2246</v>
      </c>
    </row>
    <row r="101" spans="1:13" ht="21" x14ac:dyDescent="0.25">
      <c r="A101" s="23">
        <v>118</v>
      </c>
      <c r="B101" s="23">
        <v>118</v>
      </c>
      <c r="C101" s="24" t="str">
        <f t="shared" si="2"/>
        <v>A118</v>
      </c>
      <c r="D101" s="13" t="s">
        <v>133</v>
      </c>
      <c r="E101" s="13" t="s">
        <v>1878</v>
      </c>
      <c r="F101" s="13" t="s">
        <v>1879</v>
      </c>
      <c r="G101" s="13" t="s">
        <v>0</v>
      </c>
      <c r="H101" s="13" t="s">
        <v>13</v>
      </c>
      <c r="I101" s="13">
        <v>0</v>
      </c>
      <c r="J101" s="13" t="s">
        <v>78</v>
      </c>
      <c r="K101" s="13" t="s">
        <v>16</v>
      </c>
      <c r="L101" s="13"/>
      <c r="M101" s="18" t="s">
        <v>2246</v>
      </c>
    </row>
    <row r="102" spans="1:13" ht="21" x14ac:dyDescent="0.25">
      <c r="A102" s="23">
        <v>119</v>
      </c>
      <c r="B102" s="23">
        <v>119</v>
      </c>
      <c r="C102" s="24" t="str">
        <f t="shared" si="2"/>
        <v>A119</v>
      </c>
      <c r="D102" s="13" t="s">
        <v>134</v>
      </c>
      <c r="E102" s="13" t="s">
        <v>1880</v>
      </c>
      <c r="F102" s="13" t="s">
        <v>1881</v>
      </c>
      <c r="G102" s="13" t="s">
        <v>7</v>
      </c>
      <c r="H102" s="13" t="s">
        <v>18</v>
      </c>
      <c r="I102" s="13" t="s">
        <v>40</v>
      </c>
      <c r="J102" s="13" t="s">
        <v>10</v>
      </c>
      <c r="K102" s="13" t="s">
        <v>11</v>
      </c>
      <c r="L102" s="13"/>
      <c r="M102" s="18" t="s">
        <v>2246</v>
      </c>
    </row>
    <row r="103" spans="1:13" ht="21" x14ac:dyDescent="0.25">
      <c r="A103" s="23">
        <v>120</v>
      </c>
      <c r="B103" s="23">
        <v>120</v>
      </c>
      <c r="C103" s="24" t="str">
        <f t="shared" si="2"/>
        <v>A120</v>
      </c>
      <c r="D103" s="13" t="s">
        <v>135</v>
      </c>
      <c r="E103" s="13" t="s">
        <v>1269</v>
      </c>
      <c r="F103" s="13" t="s">
        <v>1362</v>
      </c>
      <c r="G103" s="13" t="s">
        <v>0</v>
      </c>
      <c r="H103" s="13" t="s">
        <v>13</v>
      </c>
      <c r="I103" s="13" t="s">
        <v>9</v>
      </c>
      <c r="J103" s="13" t="s">
        <v>10</v>
      </c>
      <c r="K103" s="13" t="s">
        <v>11</v>
      </c>
      <c r="L103" s="13"/>
      <c r="M103" s="18" t="s">
        <v>2246</v>
      </c>
    </row>
    <row r="104" spans="1:13" x14ac:dyDescent="0.25">
      <c r="A104" s="23">
        <v>121</v>
      </c>
      <c r="B104" s="23">
        <v>121</v>
      </c>
      <c r="C104" s="24" t="str">
        <f t="shared" si="2"/>
        <v>A121</v>
      </c>
      <c r="D104" s="13" t="s">
        <v>137</v>
      </c>
      <c r="E104" s="13" t="s">
        <v>136</v>
      </c>
      <c r="F104" s="13" t="s">
        <v>1383</v>
      </c>
      <c r="G104" s="13" t="s">
        <v>0</v>
      </c>
      <c r="H104" s="13" t="s">
        <v>48</v>
      </c>
      <c r="I104" s="13" t="s">
        <v>49</v>
      </c>
      <c r="J104" s="13" t="s">
        <v>50</v>
      </c>
      <c r="K104" s="13" t="s">
        <v>11</v>
      </c>
      <c r="L104" s="13"/>
      <c r="M104" s="18" t="s">
        <v>2246</v>
      </c>
    </row>
    <row r="105" spans="1:13" ht="21" x14ac:dyDescent="0.25">
      <c r="A105" s="23">
        <v>122</v>
      </c>
      <c r="B105" s="23">
        <v>122</v>
      </c>
      <c r="C105" s="24" t="str">
        <f t="shared" si="2"/>
        <v>A122</v>
      </c>
      <c r="D105" s="13" t="s">
        <v>138</v>
      </c>
      <c r="E105" s="13" t="s">
        <v>1270</v>
      </c>
      <c r="F105" s="13" t="s">
        <v>1363</v>
      </c>
      <c r="G105" s="13" t="s">
        <v>0</v>
      </c>
      <c r="H105" s="13" t="s">
        <v>13</v>
      </c>
      <c r="I105" s="13" t="s">
        <v>9</v>
      </c>
      <c r="J105" s="13" t="s">
        <v>10</v>
      </c>
      <c r="K105" s="13" t="s">
        <v>11</v>
      </c>
      <c r="L105" s="13"/>
      <c r="M105" s="18" t="s">
        <v>2246</v>
      </c>
    </row>
    <row r="106" spans="1:13" ht="21" x14ac:dyDescent="0.25">
      <c r="A106" s="23">
        <v>123</v>
      </c>
      <c r="B106" s="23">
        <v>123</v>
      </c>
      <c r="C106" s="24" t="str">
        <f t="shared" si="2"/>
        <v>A123</v>
      </c>
      <c r="D106" s="13" t="s">
        <v>139</v>
      </c>
      <c r="E106" s="13" t="s">
        <v>1271</v>
      </c>
      <c r="F106" s="13" t="s">
        <v>1364</v>
      </c>
      <c r="G106" s="13" t="s">
        <v>0</v>
      </c>
      <c r="H106" s="13" t="s">
        <v>13</v>
      </c>
      <c r="I106" s="13" t="s">
        <v>9</v>
      </c>
      <c r="J106" s="13" t="s">
        <v>10</v>
      </c>
      <c r="K106" s="13" t="s">
        <v>11</v>
      </c>
      <c r="L106" s="13"/>
      <c r="M106" s="18" t="s">
        <v>2246</v>
      </c>
    </row>
    <row r="107" spans="1:13" ht="21" x14ac:dyDescent="0.25">
      <c r="A107" s="23">
        <v>124</v>
      </c>
      <c r="B107" s="23">
        <v>124</v>
      </c>
      <c r="C107" s="24" t="str">
        <f t="shared" si="2"/>
        <v>A124</v>
      </c>
      <c r="D107" s="13" t="s">
        <v>140</v>
      </c>
      <c r="E107" s="13" t="s">
        <v>1272</v>
      </c>
      <c r="F107" s="13" t="s">
        <v>1365</v>
      </c>
      <c r="G107" s="13" t="s">
        <v>0</v>
      </c>
      <c r="H107" s="13" t="s">
        <v>13</v>
      </c>
      <c r="I107" s="13" t="s">
        <v>9</v>
      </c>
      <c r="J107" s="13" t="s">
        <v>10</v>
      </c>
      <c r="K107" s="13" t="s">
        <v>11</v>
      </c>
      <c r="L107" s="13"/>
      <c r="M107" s="18" t="s">
        <v>2246</v>
      </c>
    </row>
    <row r="108" spans="1:13" ht="21" x14ac:dyDescent="0.25">
      <c r="A108" s="23">
        <v>125</v>
      </c>
      <c r="B108" s="23">
        <v>125</v>
      </c>
      <c r="C108" s="24" t="str">
        <f t="shared" si="2"/>
        <v>A125</v>
      </c>
      <c r="D108" s="13" t="s">
        <v>141</v>
      </c>
      <c r="E108" s="13" t="s">
        <v>1273</v>
      </c>
      <c r="F108" s="13" t="s">
        <v>1366</v>
      </c>
      <c r="G108" s="13" t="s">
        <v>0</v>
      </c>
      <c r="H108" s="13" t="s">
        <v>13</v>
      </c>
      <c r="I108" s="13" t="s">
        <v>9</v>
      </c>
      <c r="J108" s="13" t="s">
        <v>10</v>
      </c>
      <c r="K108" s="13" t="s">
        <v>11</v>
      </c>
      <c r="L108" s="13"/>
      <c r="M108" s="18" t="s">
        <v>2246</v>
      </c>
    </row>
    <row r="109" spans="1:13" x14ac:dyDescent="0.25">
      <c r="A109" s="23">
        <v>126</v>
      </c>
      <c r="B109" s="23">
        <v>126</v>
      </c>
      <c r="C109" s="24" t="str">
        <f t="shared" si="2"/>
        <v>A126</v>
      </c>
      <c r="D109" s="13" t="s">
        <v>143</v>
      </c>
      <c r="E109" s="13" t="s">
        <v>142</v>
      </c>
      <c r="F109" s="13" t="s">
        <v>1367</v>
      </c>
      <c r="G109" s="13" t="s">
        <v>0</v>
      </c>
      <c r="H109" s="13" t="s">
        <v>48</v>
      </c>
      <c r="I109" s="13" t="s">
        <v>49</v>
      </c>
      <c r="J109" s="13" t="s">
        <v>50</v>
      </c>
      <c r="K109" s="13" t="s">
        <v>11</v>
      </c>
      <c r="L109" s="13"/>
      <c r="M109" s="18" t="s">
        <v>2246</v>
      </c>
    </row>
    <row r="110" spans="1:13" ht="21" x14ac:dyDescent="0.25">
      <c r="A110" s="23">
        <v>127</v>
      </c>
      <c r="B110" s="23">
        <v>127</v>
      </c>
      <c r="C110" s="24" t="str">
        <f t="shared" si="2"/>
        <v>A127</v>
      </c>
      <c r="D110" s="13" t="s">
        <v>144</v>
      </c>
      <c r="E110" s="13" t="s">
        <v>1274</v>
      </c>
      <c r="F110" s="13" t="s">
        <v>1368</v>
      </c>
      <c r="G110" s="13" t="s">
        <v>0</v>
      </c>
      <c r="H110" s="13" t="s">
        <v>13</v>
      </c>
      <c r="I110" s="13" t="s">
        <v>9</v>
      </c>
      <c r="J110" s="13" t="s">
        <v>10</v>
      </c>
      <c r="K110" s="13" t="s">
        <v>11</v>
      </c>
      <c r="L110" s="13"/>
      <c r="M110" s="18" t="s">
        <v>2246</v>
      </c>
    </row>
    <row r="111" spans="1:13" ht="21" x14ac:dyDescent="0.25">
      <c r="A111" s="23">
        <v>128</v>
      </c>
      <c r="B111" s="23">
        <v>128</v>
      </c>
      <c r="C111" s="24" t="str">
        <f t="shared" si="2"/>
        <v>A128</v>
      </c>
      <c r="D111" s="13" t="s">
        <v>145</v>
      </c>
      <c r="E111" s="13" t="s">
        <v>1275</v>
      </c>
      <c r="F111" s="13" t="s">
        <v>1369</v>
      </c>
      <c r="G111" s="13" t="s">
        <v>0</v>
      </c>
      <c r="H111" s="13" t="s">
        <v>13</v>
      </c>
      <c r="I111" s="13" t="s">
        <v>9</v>
      </c>
      <c r="J111" s="13" t="s">
        <v>10</v>
      </c>
      <c r="K111" s="13" t="s">
        <v>11</v>
      </c>
      <c r="L111" s="13"/>
      <c r="M111" s="18" t="s">
        <v>2246</v>
      </c>
    </row>
    <row r="112" spans="1:13" ht="21" x14ac:dyDescent="0.25">
      <c r="A112" s="23">
        <v>129</v>
      </c>
      <c r="B112" s="23">
        <v>129</v>
      </c>
      <c r="C112" s="24" t="str">
        <f t="shared" si="2"/>
        <v>A129</v>
      </c>
      <c r="D112" s="13" t="s">
        <v>146</v>
      </c>
      <c r="E112" s="13" t="s">
        <v>1276</v>
      </c>
      <c r="F112" s="13" t="s">
        <v>1370</v>
      </c>
      <c r="G112" s="13" t="s">
        <v>0</v>
      </c>
      <c r="H112" s="13" t="s">
        <v>13</v>
      </c>
      <c r="I112" s="13" t="s">
        <v>9</v>
      </c>
      <c r="J112" s="13" t="s">
        <v>10</v>
      </c>
      <c r="K112" s="13" t="s">
        <v>11</v>
      </c>
      <c r="L112" s="13"/>
      <c r="M112" s="18" t="s">
        <v>2246</v>
      </c>
    </row>
    <row r="113" spans="1:13" ht="21" x14ac:dyDescent="0.25">
      <c r="A113" s="23">
        <v>130</v>
      </c>
      <c r="B113" s="23">
        <v>130</v>
      </c>
      <c r="C113" s="24" t="str">
        <f t="shared" si="2"/>
        <v>A130</v>
      </c>
      <c r="D113" s="13" t="s">
        <v>147</v>
      </c>
      <c r="E113" s="13" t="s">
        <v>1882</v>
      </c>
      <c r="F113" s="13" t="s">
        <v>1883</v>
      </c>
      <c r="G113" s="13" t="s">
        <v>0</v>
      </c>
      <c r="H113" s="13" t="s">
        <v>18</v>
      </c>
      <c r="I113" s="13" t="s">
        <v>9</v>
      </c>
      <c r="J113" s="13" t="s">
        <v>10</v>
      </c>
      <c r="K113" s="13" t="s">
        <v>11</v>
      </c>
      <c r="L113" s="13"/>
      <c r="M113" s="18" t="s">
        <v>2246</v>
      </c>
    </row>
    <row r="114" spans="1:13" ht="21" x14ac:dyDescent="0.25">
      <c r="A114" s="23">
        <v>131</v>
      </c>
      <c r="B114" s="23">
        <v>131</v>
      </c>
      <c r="C114" s="24" t="str">
        <f t="shared" si="2"/>
        <v>A131</v>
      </c>
      <c r="D114" s="13" t="s">
        <v>148</v>
      </c>
      <c r="E114" s="13" t="s">
        <v>1884</v>
      </c>
      <c r="F114" s="13" t="s">
        <v>1885</v>
      </c>
      <c r="G114" s="13" t="s">
        <v>0</v>
      </c>
      <c r="H114" s="13" t="s">
        <v>18</v>
      </c>
      <c r="I114" s="13" t="s">
        <v>9</v>
      </c>
      <c r="J114" s="13" t="s">
        <v>10</v>
      </c>
      <c r="K114" s="13" t="s">
        <v>11</v>
      </c>
      <c r="L114" s="13"/>
      <c r="M114" s="18" t="s">
        <v>2246</v>
      </c>
    </row>
    <row r="115" spans="1:13" ht="21" x14ac:dyDescent="0.25">
      <c r="A115" s="23">
        <v>132</v>
      </c>
      <c r="B115" s="23">
        <v>132</v>
      </c>
      <c r="C115" s="24" t="str">
        <f t="shared" ref="C115:C166" si="3">"A"&amp;B115</f>
        <v>A132</v>
      </c>
      <c r="D115" s="13" t="s">
        <v>149</v>
      </c>
      <c r="E115" s="13" t="s">
        <v>457</v>
      </c>
      <c r="F115" s="13" t="s">
        <v>1360</v>
      </c>
      <c r="G115" s="13" t="s">
        <v>0</v>
      </c>
      <c r="H115" s="13" t="s">
        <v>99</v>
      </c>
      <c r="I115" s="13">
        <v>0</v>
      </c>
      <c r="J115" s="13" t="s">
        <v>10</v>
      </c>
      <c r="K115" s="13" t="s">
        <v>11</v>
      </c>
      <c r="L115" s="13"/>
      <c r="M115" s="18" t="s">
        <v>2246</v>
      </c>
    </row>
    <row r="116" spans="1:13" ht="21" x14ac:dyDescent="0.25">
      <c r="A116" s="23">
        <v>133</v>
      </c>
      <c r="B116" s="23">
        <v>133</v>
      </c>
      <c r="C116" s="24" t="str">
        <f t="shared" si="3"/>
        <v>A133</v>
      </c>
      <c r="D116" s="13" t="s">
        <v>150</v>
      </c>
      <c r="E116" s="13" t="s">
        <v>458</v>
      </c>
      <c r="F116" s="13" t="s">
        <v>1361</v>
      </c>
      <c r="G116" s="13" t="s">
        <v>0</v>
      </c>
      <c r="H116" s="13" t="s">
        <v>99</v>
      </c>
      <c r="I116" s="13">
        <v>0</v>
      </c>
      <c r="J116" s="13" t="s">
        <v>10</v>
      </c>
      <c r="K116" s="13" t="s">
        <v>11</v>
      </c>
      <c r="L116" s="13"/>
      <c r="M116" s="18" t="s">
        <v>2246</v>
      </c>
    </row>
    <row r="117" spans="1:13" ht="21" x14ac:dyDescent="0.25">
      <c r="A117" s="23">
        <v>134</v>
      </c>
      <c r="B117" s="23">
        <v>134</v>
      </c>
      <c r="C117" s="24" t="str">
        <f t="shared" si="3"/>
        <v>A134</v>
      </c>
      <c r="D117" s="13" t="s">
        <v>2319</v>
      </c>
      <c r="E117" s="13" t="s">
        <v>2036</v>
      </c>
      <c r="F117" s="13" t="s">
        <v>2043</v>
      </c>
      <c r="G117" s="13" t="s">
        <v>0</v>
      </c>
      <c r="H117" s="13" t="s">
        <v>659</v>
      </c>
      <c r="I117" s="13" t="s">
        <v>660</v>
      </c>
      <c r="J117" s="13" t="s">
        <v>661</v>
      </c>
      <c r="K117" s="13" t="s">
        <v>11</v>
      </c>
      <c r="L117" s="13"/>
      <c r="M117" s="18" t="s">
        <v>2246</v>
      </c>
    </row>
    <row r="118" spans="1:13" ht="21" x14ac:dyDescent="0.25">
      <c r="A118" s="23">
        <v>135</v>
      </c>
      <c r="B118" s="23">
        <v>135</v>
      </c>
      <c r="C118" s="24" t="str">
        <f t="shared" si="3"/>
        <v>A135</v>
      </c>
      <c r="D118" s="13" t="s">
        <v>2320</v>
      </c>
      <c r="E118" s="13" t="s">
        <v>2037</v>
      </c>
      <c r="F118" s="13" t="s">
        <v>2042</v>
      </c>
      <c r="G118" s="13" t="s">
        <v>0</v>
      </c>
      <c r="H118" s="13" t="s">
        <v>48</v>
      </c>
      <c r="I118" s="13" t="s">
        <v>648</v>
      </c>
      <c r="J118" s="13" t="s">
        <v>649</v>
      </c>
      <c r="K118" s="13" t="s">
        <v>11</v>
      </c>
      <c r="L118" s="13"/>
      <c r="M118" s="18" t="s">
        <v>2246</v>
      </c>
    </row>
    <row r="119" spans="1:13" ht="21" x14ac:dyDescent="0.25">
      <c r="A119" s="23">
        <v>136</v>
      </c>
      <c r="B119" s="23">
        <v>136</v>
      </c>
      <c r="C119" s="24" t="str">
        <f t="shared" si="3"/>
        <v>A136</v>
      </c>
      <c r="D119" s="13" t="s">
        <v>2322</v>
      </c>
      <c r="E119" s="13" t="s">
        <v>2038</v>
      </c>
      <c r="F119" s="13" t="s">
        <v>2041</v>
      </c>
      <c r="G119" s="13" t="s">
        <v>0</v>
      </c>
      <c r="H119" s="13" t="s">
        <v>662</v>
      </c>
      <c r="I119" s="13" t="s">
        <v>49</v>
      </c>
      <c r="J119" s="13" t="s">
        <v>50</v>
      </c>
      <c r="K119" s="13" t="s">
        <v>11</v>
      </c>
      <c r="L119" s="13"/>
      <c r="M119" s="18" t="s">
        <v>2246</v>
      </c>
    </row>
    <row r="120" spans="1:13" ht="21" x14ac:dyDescent="0.25">
      <c r="A120" s="23">
        <v>137</v>
      </c>
      <c r="B120" s="23">
        <v>137</v>
      </c>
      <c r="C120" s="24" t="str">
        <f t="shared" si="3"/>
        <v>A137</v>
      </c>
      <c r="D120" s="13" t="s">
        <v>2323</v>
      </c>
      <c r="E120" s="13" t="s">
        <v>2039</v>
      </c>
      <c r="F120" s="13" t="s">
        <v>2040</v>
      </c>
      <c r="G120" s="13" t="s">
        <v>0</v>
      </c>
      <c r="H120" s="13" t="s">
        <v>48</v>
      </c>
      <c r="I120" s="13" t="s">
        <v>648</v>
      </c>
      <c r="J120" s="13" t="s">
        <v>649</v>
      </c>
      <c r="K120" s="13" t="s">
        <v>11</v>
      </c>
      <c r="L120" s="13"/>
      <c r="M120" s="18" t="s">
        <v>2246</v>
      </c>
    </row>
    <row r="121" spans="1:13" x14ac:dyDescent="0.25">
      <c r="A121" s="23">
        <v>138</v>
      </c>
      <c r="B121" s="23">
        <v>138</v>
      </c>
      <c r="C121" s="24" t="str">
        <f t="shared" si="3"/>
        <v>A138</v>
      </c>
      <c r="D121" s="13" t="s">
        <v>157</v>
      </c>
      <c r="E121" s="13" t="s">
        <v>1886</v>
      </c>
      <c r="F121" s="13" t="s">
        <v>1887</v>
      </c>
      <c r="G121" s="13" t="s">
        <v>0</v>
      </c>
      <c r="H121" s="13" t="s">
        <v>13</v>
      </c>
      <c r="I121" s="13">
        <v>0</v>
      </c>
      <c r="J121" s="13" t="s">
        <v>27</v>
      </c>
      <c r="K121" s="13" t="s">
        <v>11</v>
      </c>
      <c r="L121" s="13"/>
      <c r="M121" s="18" t="s">
        <v>2246</v>
      </c>
    </row>
    <row r="122" spans="1:13" ht="42" x14ac:dyDescent="0.25">
      <c r="A122" s="23">
        <v>139</v>
      </c>
      <c r="B122" s="23">
        <v>139</v>
      </c>
      <c r="C122" s="24" t="str">
        <f t="shared" si="3"/>
        <v>A139</v>
      </c>
      <c r="D122" s="13" t="s">
        <v>158</v>
      </c>
      <c r="E122" s="13" t="s">
        <v>1888</v>
      </c>
      <c r="F122" s="13" t="s">
        <v>1889</v>
      </c>
      <c r="G122" s="13" t="s">
        <v>0</v>
      </c>
      <c r="H122" s="13" t="s">
        <v>13</v>
      </c>
      <c r="I122" s="13" t="s">
        <v>9</v>
      </c>
      <c r="J122" s="13" t="s">
        <v>10</v>
      </c>
      <c r="K122" s="13" t="s">
        <v>11</v>
      </c>
      <c r="L122" s="13"/>
      <c r="M122" s="18" t="s">
        <v>2246</v>
      </c>
    </row>
    <row r="123" spans="1:13" x14ac:dyDescent="0.25">
      <c r="A123" s="23">
        <v>140</v>
      </c>
      <c r="B123" s="23">
        <v>140</v>
      </c>
      <c r="C123" s="24" t="str">
        <f t="shared" si="3"/>
        <v>A140</v>
      </c>
      <c r="D123" s="13" t="s">
        <v>159</v>
      </c>
      <c r="E123" s="13" t="s">
        <v>1277</v>
      </c>
      <c r="F123" s="13" t="s">
        <v>1373</v>
      </c>
      <c r="G123" s="13" t="s">
        <v>45</v>
      </c>
      <c r="H123" s="13" t="s">
        <v>13</v>
      </c>
      <c r="I123" s="13">
        <v>0</v>
      </c>
      <c r="J123" s="13" t="s">
        <v>27</v>
      </c>
      <c r="K123" s="13" t="s">
        <v>11</v>
      </c>
      <c r="L123" s="13"/>
      <c r="M123" s="18" t="s">
        <v>2246</v>
      </c>
    </row>
    <row r="124" spans="1:13" ht="21" x14ac:dyDescent="0.25">
      <c r="A124" s="23">
        <v>141</v>
      </c>
      <c r="B124" s="23">
        <v>141</v>
      </c>
      <c r="C124" s="24" t="str">
        <f t="shared" si="3"/>
        <v>A141</v>
      </c>
      <c r="D124" s="13" t="s">
        <v>160</v>
      </c>
      <c r="E124" s="13" t="s">
        <v>506</v>
      </c>
      <c r="F124" s="13" t="s">
        <v>1374</v>
      </c>
      <c r="G124" s="13" t="s">
        <v>7</v>
      </c>
      <c r="H124" s="13" t="s">
        <v>18</v>
      </c>
      <c r="I124" s="13" t="s">
        <v>9</v>
      </c>
      <c r="J124" s="13" t="s">
        <v>10</v>
      </c>
      <c r="K124" s="13" t="s">
        <v>11</v>
      </c>
      <c r="L124" s="13"/>
      <c r="M124" s="18" t="s">
        <v>2246</v>
      </c>
    </row>
    <row r="125" spans="1:13" ht="21" x14ac:dyDescent="0.25">
      <c r="A125" s="23">
        <v>142</v>
      </c>
      <c r="B125" s="23">
        <v>142</v>
      </c>
      <c r="C125" s="24" t="str">
        <f t="shared" si="3"/>
        <v>A142</v>
      </c>
      <c r="D125" s="13" t="s">
        <v>161</v>
      </c>
      <c r="E125" s="13" t="s">
        <v>1278</v>
      </c>
      <c r="F125" s="13" t="s">
        <v>1375</v>
      </c>
      <c r="G125" s="13" t="s">
        <v>0</v>
      </c>
      <c r="H125" s="13" t="s">
        <v>33</v>
      </c>
      <c r="I125" s="13" t="s">
        <v>9</v>
      </c>
      <c r="J125" s="13" t="s">
        <v>10</v>
      </c>
      <c r="K125" s="13" t="s">
        <v>11</v>
      </c>
      <c r="L125" s="13"/>
      <c r="M125" s="18" t="s">
        <v>2246</v>
      </c>
    </row>
    <row r="126" spans="1:13" ht="21" x14ac:dyDescent="0.25">
      <c r="A126" s="23">
        <v>143</v>
      </c>
      <c r="B126" s="23">
        <v>143</v>
      </c>
      <c r="C126" s="24" t="str">
        <f t="shared" si="3"/>
        <v>A143</v>
      </c>
      <c r="D126" s="13" t="s">
        <v>162</v>
      </c>
      <c r="E126" s="13" t="s">
        <v>459</v>
      </c>
      <c r="F126" s="13" t="s">
        <v>1376</v>
      </c>
      <c r="G126" s="13" t="s">
        <v>0</v>
      </c>
      <c r="H126" s="13" t="s">
        <v>13</v>
      </c>
      <c r="I126" s="13">
        <v>0</v>
      </c>
      <c r="J126" s="13" t="s">
        <v>10</v>
      </c>
      <c r="K126" s="13" t="s">
        <v>11</v>
      </c>
      <c r="L126" s="13"/>
      <c r="M126" s="18" t="s">
        <v>2246</v>
      </c>
    </row>
    <row r="127" spans="1:13" ht="21" x14ac:dyDescent="0.25">
      <c r="A127" s="23">
        <v>144</v>
      </c>
      <c r="B127" s="23">
        <v>144</v>
      </c>
      <c r="C127" s="24" t="str">
        <f t="shared" si="3"/>
        <v>A144</v>
      </c>
      <c r="D127" s="13" t="s">
        <v>163</v>
      </c>
      <c r="E127" s="13" t="s">
        <v>460</v>
      </c>
      <c r="F127" s="13" t="s">
        <v>1377</v>
      </c>
      <c r="G127" s="13" t="s">
        <v>0</v>
      </c>
      <c r="H127" s="13" t="s">
        <v>13</v>
      </c>
      <c r="I127" s="13">
        <v>0</v>
      </c>
      <c r="J127" s="13" t="s">
        <v>10</v>
      </c>
      <c r="K127" s="13" t="s">
        <v>11</v>
      </c>
      <c r="L127" s="13"/>
      <c r="M127" s="18" t="s">
        <v>2246</v>
      </c>
    </row>
    <row r="128" spans="1:13" ht="21" x14ac:dyDescent="0.25">
      <c r="A128" s="23">
        <v>145</v>
      </c>
      <c r="B128" s="23">
        <v>145</v>
      </c>
      <c r="C128" s="24" t="str">
        <f t="shared" si="3"/>
        <v>A145</v>
      </c>
      <c r="D128" s="13" t="s">
        <v>164</v>
      </c>
      <c r="E128" s="13" t="s">
        <v>461</v>
      </c>
      <c r="F128" s="13" t="s">
        <v>1378</v>
      </c>
      <c r="G128" s="13" t="s">
        <v>0</v>
      </c>
      <c r="H128" s="13" t="s">
        <v>13</v>
      </c>
      <c r="I128" s="13">
        <v>0</v>
      </c>
      <c r="J128" s="13" t="s">
        <v>10</v>
      </c>
      <c r="K128" s="13" t="s">
        <v>11</v>
      </c>
      <c r="L128" s="13"/>
      <c r="M128" s="18" t="s">
        <v>2246</v>
      </c>
    </row>
    <row r="129" spans="1:13" ht="21" x14ac:dyDescent="0.25">
      <c r="A129" s="23">
        <v>146</v>
      </c>
      <c r="B129" s="23">
        <v>146</v>
      </c>
      <c r="C129" s="24" t="str">
        <f t="shared" si="3"/>
        <v>A146</v>
      </c>
      <c r="D129" s="13" t="s">
        <v>165</v>
      </c>
      <c r="E129" s="13" t="s">
        <v>462</v>
      </c>
      <c r="F129" s="13" t="s">
        <v>1379</v>
      </c>
      <c r="G129" s="13" t="s">
        <v>0</v>
      </c>
      <c r="H129" s="13" t="s">
        <v>13</v>
      </c>
      <c r="I129" s="13">
        <v>0</v>
      </c>
      <c r="J129" s="13" t="s">
        <v>10</v>
      </c>
      <c r="K129" s="13" t="s">
        <v>11</v>
      </c>
      <c r="L129" s="13"/>
      <c r="M129" s="18" t="s">
        <v>2246</v>
      </c>
    </row>
    <row r="130" spans="1:13" ht="21" x14ac:dyDescent="0.25">
      <c r="A130" s="23">
        <v>147</v>
      </c>
      <c r="B130" s="23">
        <v>147</v>
      </c>
      <c r="C130" s="24" t="str">
        <f t="shared" si="3"/>
        <v>A147</v>
      </c>
      <c r="D130" s="13" t="s">
        <v>166</v>
      </c>
      <c r="E130" s="13" t="s">
        <v>463</v>
      </c>
      <c r="F130" s="13" t="s">
        <v>1380</v>
      </c>
      <c r="G130" s="13" t="s">
        <v>0</v>
      </c>
      <c r="H130" s="13" t="s">
        <v>13</v>
      </c>
      <c r="I130" s="13">
        <v>0</v>
      </c>
      <c r="J130" s="13" t="s">
        <v>10</v>
      </c>
      <c r="K130" s="13" t="s">
        <v>11</v>
      </c>
      <c r="L130" s="13"/>
      <c r="M130" s="18" t="s">
        <v>2246</v>
      </c>
    </row>
    <row r="131" spans="1:13" ht="21" x14ac:dyDescent="0.25">
      <c r="A131" s="23">
        <v>148</v>
      </c>
      <c r="B131" s="23">
        <v>148</v>
      </c>
      <c r="C131" s="24" t="str">
        <f t="shared" si="3"/>
        <v>A148</v>
      </c>
      <c r="D131" s="13" t="s">
        <v>167</v>
      </c>
      <c r="E131" s="13" t="s">
        <v>464</v>
      </c>
      <c r="F131" s="13" t="s">
        <v>1381</v>
      </c>
      <c r="G131" s="13" t="s">
        <v>0</v>
      </c>
      <c r="H131" s="13" t="s">
        <v>13</v>
      </c>
      <c r="I131" s="13">
        <v>0</v>
      </c>
      <c r="J131" s="13" t="s">
        <v>10</v>
      </c>
      <c r="K131" s="13" t="s">
        <v>11</v>
      </c>
      <c r="L131" s="13"/>
      <c r="M131" s="18" t="s">
        <v>2246</v>
      </c>
    </row>
    <row r="132" spans="1:13" x14ac:dyDescent="0.25">
      <c r="A132" s="23">
        <v>149</v>
      </c>
      <c r="B132" s="23">
        <v>149</v>
      </c>
      <c r="C132" s="24" t="str">
        <f t="shared" si="3"/>
        <v>A149</v>
      </c>
      <c r="D132" s="13" t="s">
        <v>168</v>
      </c>
      <c r="E132" s="13" t="s">
        <v>465</v>
      </c>
      <c r="F132" s="13" t="s">
        <v>1382</v>
      </c>
      <c r="G132" s="13" t="s">
        <v>45</v>
      </c>
      <c r="H132" s="13" t="s">
        <v>13</v>
      </c>
      <c r="I132" s="13">
        <v>0</v>
      </c>
      <c r="J132" s="13" t="s">
        <v>27</v>
      </c>
      <c r="K132" s="13" t="s">
        <v>11</v>
      </c>
      <c r="L132" s="13"/>
      <c r="M132" s="18" t="s">
        <v>2246</v>
      </c>
    </row>
    <row r="133" spans="1:13" ht="21" x14ac:dyDescent="0.25">
      <c r="A133" s="25">
        <v>151</v>
      </c>
      <c r="B133" s="25">
        <v>151</v>
      </c>
      <c r="C133" s="24" t="str">
        <f t="shared" si="3"/>
        <v>A151</v>
      </c>
      <c r="D133" s="13" t="s">
        <v>2315</v>
      </c>
      <c r="E133" s="13" t="s">
        <v>2328</v>
      </c>
      <c r="F133" s="13" t="s">
        <v>2329</v>
      </c>
      <c r="G133" s="13" t="s">
        <v>0</v>
      </c>
      <c r="H133" s="13" t="s">
        <v>8</v>
      </c>
      <c r="I133" s="13">
        <v>0</v>
      </c>
      <c r="J133" s="13" t="s">
        <v>27</v>
      </c>
      <c r="K133" s="13" t="s">
        <v>16</v>
      </c>
      <c r="L133" s="13"/>
      <c r="M133" s="18" t="s">
        <v>2246</v>
      </c>
    </row>
    <row r="134" spans="1:13" ht="21" x14ac:dyDescent="0.25">
      <c r="A134" s="25">
        <v>152</v>
      </c>
      <c r="B134" s="25">
        <v>152</v>
      </c>
      <c r="C134" s="24" t="str">
        <f t="shared" si="3"/>
        <v>A152</v>
      </c>
      <c r="D134" s="13" t="s">
        <v>2316</v>
      </c>
      <c r="E134" s="13" t="s">
        <v>2037</v>
      </c>
      <c r="F134" s="13" t="s">
        <v>2327</v>
      </c>
      <c r="G134" s="13" t="s">
        <v>0</v>
      </c>
      <c r="H134" s="13" t="s">
        <v>48</v>
      </c>
      <c r="I134" s="13" t="s">
        <v>648</v>
      </c>
      <c r="J134" s="13" t="s">
        <v>649</v>
      </c>
      <c r="K134" s="13" t="s">
        <v>11</v>
      </c>
      <c r="L134" s="13"/>
      <c r="M134" s="18" t="s">
        <v>2246</v>
      </c>
    </row>
    <row r="135" spans="1:13" ht="21" x14ac:dyDescent="0.25">
      <c r="A135" s="25">
        <v>153</v>
      </c>
      <c r="B135" s="25">
        <v>153</v>
      </c>
      <c r="C135" s="24" t="str">
        <f t="shared" si="3"/>
        <v>A153</v>
      </c>
      <c r="D135" s="13" t="s">
        <v>2317</v>
      </c>
      <c r="E135" s="13" t="s">
        <v>2048</v>
      </c>
      <c r="F135" s="13" t="s">
        <v>2031</v>
      </c>
      <c r="G135" s="13" t="s">
        <v>0</v>
      </c>
      <c r="H135" s="13" t="s">
        <v>659</v>
      </c>
      <c r="I135" s="13" t="s">
        <v>660</v>
      </c>
      <c r="J135" s="13" t="s">
        <v>661</v>
      </c>
      <c r="K135" s="13" t="s">
        <v>11</v>
      </c>
      <c r="L135" s="13"/>
      <c r="M135" s="18" t="s">
        <v>2246</v>
      </c>
    </row>
    <row r="136" spans="1:13" ht="21" x14ac:dyDescent="0.25">
      <c r="A136" s="25">
        <v>154</v>
      </c>
      <c r="B136" s="25">
        <v>154</v>
      </c>
      <c r="C136" s="24" t="str">
        <f t="shared" si="3"/>
        <v>A154</v>
      </c>
      <c r="D136" s="13" t="s">
        <v>2318</v>
      </c>
      <c r="E136" s="13" t="s">
        <v>2047</v>
      </c>
      <c r="F136" s="13" t="s">
        <v>2030</v>
      </c>
      <c r="G136" s="13" t="s">
        <v>0</v>
      </c>
      <c r="H136" s="13" t="s">
        <v>662</v>
      </c>
      <c r="I136" s="13" t="s">
        <v>49</v>
      </c>
      <c r="J136" s="13" t="s">
        <v>50</v>
      </c>
      <c r="K136" s="13" t="s">
        <v>11</v>
      </c>
      <c r="L136" s="13"/>
      <c r="M136" s="18" t="s">
        <v>2246</v>
      </c>
    </row>
    <row r="137" spans="1:13" ht="21" x14ac:dyDescent="0.25">
      <c r="A137" s="25">
        <v>155</v>
      </c>
      <c r="B137" s="25">
        <v>155</v>
      </c>
      <c r="C137" s="24" t="str">
        <f t="shared" si="3"/>
        <v>A155</v>
      </c>
      <c r="D137" s="13" t="s">
        <v>2313</v>
      </c>
      <c r="E137" s="13" t="s">
        <v>2046</v>
      </c>
      <c r="F137" s="13" t="s">
        <v>2035</v>
      </c>
      <c r="G137" s="13" t="s">
        <v>0</v>
      </c>
      <c r="H137" s="13" t="s">
        <v>48</v>
      </c>
      <c r="I137" s="13" t="s">
        <v>648</v>
      </c>
      <c r="J137" s="13" t="s">
        <v>649</v>
      </c>
      <c r="K137" s="13" t="s">
        <v>11</v>
      </c>
      <c r="L137" s="13"/>
      <c r="M137" s="18" t="s">
        <v>2246</v>
      </c>
    </row>
    <row r="138" spans="1:13" ht="21" x14ac:dyDescent="0.25">
      <c r="A138" s="25">
        <v>156</v>
      </c>
      <c r="B138" s="25">
        <v>156</v>
      </c>
      <c r="C138" s="24" t="str">
        <f t="shared" si="3"/>
        <v>A156</v>
      </c>
      <c r="D138" s="13" t="s">
        <v>651</v>
      </c>
      <c r="E138" s="13" t="s">
        <v>2045</v>
      </c>
      <c r="F138" s="13" t="s">
        <v>2034</v>
      </c>
      <c r="G138" s="13" t="s">
        <v>0</v>
      </c>
      <c r="H138" s="13" t="s">
        <v>13</v>
      </c>
      <c r="I138" s="13">
        <v>0</v>
      </c>
      <c r="J138" s="13" t="s">
        <v>27</v>
      </c>
      <c r="K138" s="13" t="s">
        <v>16</v>
      </c>
      <c r="L138" s="13"/>
      <c r="M138" s="18" t="s">
        <v>2248</v>
      </c>
    </row>
    <row r="139" spans="1:13" ht="21" x14ac:dyDescent="0.25">
      <c r="A139" s="25">
        <v>157</v>
      </c>
      <c r="B139" s="25">
        <v>157</v>
      </c>
      <c r="C139" s="24" t="str">
        <f t="shared" si="3"/>
        <v>A157</v>
      </c>
      <c r="D139" s="13" t="s">
        <v>2324</v>
      </c>
      <c r="E139" s="13" t="s">
        <v>2027</v>
      </c>
      <c r="F139" s="13" t="s">
        <v>2029</v>
      </c>
      <c r="G139" s="13" t="s">
        <v>0</v>
      </c>
      <c r="H139" s="13" t="s">
        <v>659</v>
      </c>
      <c r="I139" s="13" t="s">
        <v>660</v>
      </c>
      <c r="J139" s="13" t="s">
        <v>661</v>
      </c>
      <c r="K139" s="13" t="s">
        <v>11</v>
      </c>
      <c r="L139" s="13"/>
      <c r="M139" s="18" t="s">
        <v>2246</v>
      </c>
    </row>
    <row r="140" spans="1:13" ht="21" x14ac:dyDescent="0.25">
      <c r="A140" s="25">
        <v>158</v>
      </c>
      <c r="B140" s="25">
        <v>158</v>
      </c>
      <c r="C140" s="24" t="str">
        <f t="shared" si="3"/>
        <v>A158</v>
      </c>
      <c r="D140" s="13" t="s">
        <v>2325</v>
      </c>
      <c r="E140" s="13" t="s">
        <v>2026</v>
      </c>
      <c r="F140" s="13" t="s">
        <v>2028</v>
      </c>
      <c r="G140" s="13" t="s">
        <v>0</v>
      </c>
      <c r="H140" s="13" t="s">
        <v>48</v>
      </c>
      <c r="I140" s="13" t="s">
        <v>648</v>
      </c>
      <c r="J140" s="13" t="s">
        <v>649</v>
      </c>
      <c r="K140" s="13" t="s">
        <v>11</v>
      </c>
      <c r="L140" s="13"/>
      <c r="M140" s="18" t="s">
        <v>2246</v>
      </c>
    </row>
    <row r="141" spans="1:13" ht="21" x14ac:dyDescent="0.25">
      <c r="A141" s="25">
        <v>159</v>
      </c>
      <c r="B141" s="25">
        <v>159</v>
      </c>
      <c r="C141" s="24" t="str">
        <f t="shared" si="3"/>
        <v>A159</v>
      </c>
      <c r="D141" s="13" t="s">
        <v>663</v>
      </c>
      <c r="E141" s="13" t="s">
        <v>2032</v>
      </c>
      <c r="F141" s="13" t="s">
        <v>2033</v>
      </c>
      <c r="G141" s="13" t="s">
        <v>647</v>
      </c>
      <c r="H141" s="13" t="s">
        <v>48</v>
      </c>
      <c r="I141" s="13" t="s">
        <v>49</v>
      </c>
      <c r="J141" s="13" t="s">
        <v>50</v>
      </c>
      <c r="K141" s="13" t="s">
        <v>11</v>
      </c>
      <c r="L141" s="13"/>
      <c r="M141" s="18" t="s">
        <v>2246</v>
      </c>
    </row>
    <row r="142" spans="1:13" ht="21" x14ac:dyDescent="0.25">
      <c r="A142" s="25">
        <v>160</v>
      </c>
      <c r="B142" s="25">
        <v>160</v>
      </c>
      <c r="C142" s="24" t="str">
        <f t="shared" si="3"/>
        <v>A160</v>
      </c>
      <c r="D142" s="13" t="s">
        <v>664</v>
      </c>
      <c r="E142" s="13" t="s">
        <v>2044</v>
      </c>
      <c r="F142" s="13" t="s">
        <v>2049</v>
      </c>
      <c r="G142" s="13" t="s">
        <v>647</v>
      </c>
      <c r="H142" s="13" t="s">
        <v>48</v>
      </c>
      <c r="I142" s="13" t="s">
        <v>648</v>
      </c>
      <c r="J142" s="13" t="s">
        <v>649</v>
      </c>
      <c r="K142" s="13" t="s">
        <v>11</v>
      </c>
      <c r="L142" s="13"/>
      <c r="M142" s="18" t="s">
        <v>2246</v>
      </c>
    </row>
    <row r="143" spans="1:13" ht="21" x14ac:dyDescent="0.25">
      <c r="A143" s="25">
        <v>162</v>
      </c>
      <c r="B143" s="25">
        <v>162</v>
      </c>
      <c r="C143" s="24" t="str">
        <f t="shared" si="3"/>
        <v>A162</v>
      </c>
      <c r="D143" s="13" t="s">
        <v>665</v>
      </c>
      <c r="E143" s="13" t="s">
        <v>2050</v>
      </c>
      <c r="F143" s="13" t="s">
        <v>2326</v>
      </c>
      <c r="G143" s="13" t="s">
        <v>647</v>
      </c>
      <c r="H143" s="13" t="s">
        <v>666</v>
      </c>
      <c r="I143" s="13" t="s">
        <v>660</v>
      </c>
      <c r="J143" s="13" t="s">
        <v>661</v>
      </c>
      <c r="K143" s="13" t="s">
        <v>11</v>
      </c>
      <c r="L143" s="13"/>
      <c r="M143" s="18" t="s">
        <v>2246</v>
      </c>
    </row>
    <row r="144" spans="1:13" ht="21" x14ac:dyDescent="0.25">
      <c r="A144" s="25">
        <v>163</v>
      </c>
      <c r="B144" s="25">
        <v>163</v>
      </c>
      <c r="C144" s="24" t="str">
        <f t="shared" si="3"/>
        <v>A163</v>
      </c>
      <c r="D144" s="13" t="s">
        <v>2321</v>
      </c>
      <c r="E144" s="13" t="s">
        <v>2053</v>
      </c>
      <c r="F144" s="13" t="s">
        <v>2054</v>
      </c>
      <c r="G144" s="13" t="s">
        <v>647</v>
      </c>
      <c r="H144" s="13" t="s">
        <v>48</v>
      </c>
      <c r="I144" s="13" t="s">
        <v>49</v>
      </c>
      <c r="J144" s="13" t="s">
        <v>50</v>
      </c>
      <c r="K144" s="13" t="s">
        <v>11</v>
      </c>
      <c r="L144" s="13"/>
      <c r="M144" s="18" t="s">
        <v>2246</v>
      </c>
    </row>
    <row r="145" spans="1:13" ht="21" x14ac:dyDescent="0.25">
      <c r="A145" s="25">
        <v>164</v>
      </c>
      <c r="B145" s="25">
        <v>164</v>
      </c>
      <c r="C145" s="24" t="str">
        <f t="shared" si="3"/>
        <v>A164</v>
      </c>
      <c r="D145" s="13" t="s">
        <v>2314</v>
      </c>
      <c r="E145" s="13" t="s">
        <v>2051</v>
      </c>
      <c r="F145" s="13" t="s">
        <v>2052</v>
      </c>
      <c r="G145" s="13" t="s">
        <v>647</v>
      </c>
      <c r="H145" s="13" t="s">
        <v>48</v>
      </c>
      <c r="I145" s="13" t="s">
        <v>648</v>
      </c>
      <c r="J145" s="13" t="s">
        <v>649</v>
      </c>
      <c r="K145" s="13" t="s">
        <v>11</v>
      </c>
      <c r="L145" s="13"/>
      <c r="M145" s="18" t="s">
        <v>2246</v>
      </c>
    </row>
    <row r="146" spans="1:13" ht="21" x14ac:dyDescent="0.25">
      <c r="A146" s="25">
        <v>166</v>
      </c>
      <c r="B146" s="25">
        <v>166</v>
      </c>
      <c r="C146" s="24" t="str">
        <f t="shared" si="3"/>
        <v>A166</v>
      </c>
      <c r="D146" s="13" t="s">
        <v>667</v>
      </c>
      <c r="E146" s="13" t="s">
        <v>2055</v>
      </c>
      <c r="F146" s="13" t="s">
        <v>2056</v>
      </c>
      <c r="G146" s="13" t="s">
        <v>647</v>
      </c>
      <c r="H146" s="13" t="s">
        <v>666</v>
      </c>
      <c r="I146" s="13" t="s">
        <v>660</v>
      </c>
      <c r="J146" s="13" t="s">
        <v>661</v>
      </c>
      <c r="K146" s="13" t="s">
        <v>11</v>
      </c>
      <c r="L146" s="13"/>
      <c r="M146" s="18" t="s">
        <v>2246</v>
      </c>
    </row>
    <row r="147" spans="1:13" ht="21" x14ac:dyDescent="0.25">
      <c r="A147" s="25">
        <v>167</v>
      </c>
      <c r="B147" s="25">
        <v>167</v>
      </c>
      <c r="C147" s="24" t="str">
        <f t="shared" si="3"/>
        <v>A167</v>
      </c>
      <c r="D147" s="13" t="s">
        <v>668</v>
      </c>
      <c r="E147" s="13" t="s">
        <v>2025</v>
      </c>
      <c r="F147" s="13" t="s">
        <v>2057</v>
      </c>
      <c r="G147" s="13" t="s">
        <v>647</v>
      </c>
      <c r="H147" s="13" t="s">
        <v>48</v>
      </c>
      <c r="I147" s="13" t="s">
        <v>648</v>
      </c>
      <c r="J147" s="13" t="s">
        <v>649</v>
      </c>
      <c r="K147" s="13" t="s">
        <v>16</v>
      </c>
      <c r="L147" s="13"/>
      <c r="M147" s="18" t="s">
        <v>2246</v>
      </c>
    </row>
    <row r="148" spans="1:13" ht="21" x14ac:dyDescent="0.25">
      <c r="A148" s="25">
        <v>168</v>
      </c>
      <c r="B148" s="25">
        <v>168</v>
      </c>
      <c r="C148" s="24" t="str">
        <f t="shared" si="3"/>
        <v>A168</v>
      </c>
      <c r="D148" s="13" t="s">
        <v>669</v>
      </c>
      <c r="E148" s="13" t="s">
        <v>2058</v>
      </c>
      <c r="F148" s="13" t="s">
        <v>2059</v>
      </c>
      <c r="G148" s="13" t="s">
        <v>0</v>
      </c>
      <c r="H148" s="13" t="s">
        <v>18</v>
      </c>
      <c r="I148" s="13" t="s">
        <v>9</v>
      </c>
      <c r="J148" s="13" t="s">
        <v>10</v>
      </c>
      <c r="K148" s="13" t="s">
        <v>16</v>
      </c>
      <c r="L148" s="13"/>
      <c r="M148" s="18" t="s">
        <v>2246</v>
      </c>
    </row>
    <row r="149" spans="1:13" ht="21" x14ac:dyDescent="0.25">
      <c r="A149" s="25">
        <v>170</v>
      </c>
      <c r="B149" s="25">
        <v>170</v>
      </c>
      <c r="C149" s="24" t="str">
        <f t="shared" si="3"/>
        <v>A170</v>
      </c>
      <c r="D149" s="13" t="s">
        <v>2313</v>
      </c>
      <c r="E149" s="13" t="s">
        <v>2061</v>
      </c>
      <c r="F149" s="13" t="s">
        <v>2060</v>
      </c>
      <c r="G149" s="13" t="s">
        <v>0</v>
      </c>
      <c r="H149" s="13" t="s">
        <v>48</v>
      </c>
      <c r="I149" s="13" t="s">
        <v>648</v>
      </c>
      <c r="J149" s="13" t="s">
        <v>649</v>
      </c>
      <c r="K149" s="13" t="s">
        <v>11</v>
      </c>
      <c r="L149" s="13"/>
      <c r="M149" s="18" t="s">
        <v>2246</v>
      </c>
    </row>
    <row r="150" spans="1:13" ht="21" x14ac:dyDescent="0.25">
      <c r="A150" s="25">
        <v>171</v>
      </c>
      <c r="B150" s="25">
        <v>171</v>
      </c>
      <c r="C150" s="24" t="str">
        <f t="shared" si="3"/>
        <v>A171</v>
      </c>
      <c r="D150" s="13" t="s">
        <v>152</v>
      </c>
      <c r="E150" s="13" t="s">
        <v>151</v>
      </c>
      <c r="F150" s="13" t="s">
        <v>1385</v>
      </c>
      <c r="G150" s="13" t="s">
        <v>0</v>
      </c>
      <c r="H150" s="13" t="s">
        <v>18</v>
      </c>
      <c r="I150" s="13" t="s">
        <v>9</v>
      </c>
      <c r="J150" s="13" t="s">
        <v>10</v>
      </c>
      <c r="K150" s="13" t="s">
        <v>11</v>
      </c>
      <c r="L150" s="13"/>
      <c r="M150" s="18" t="s">
        <v>2246</v>
      </c>
    </row>
    <row r="151" spans="1:13" ht="21" x14ac:dyDescent="0.25">
      <c r="A151" s="25">
        <v>172</v>
      </c>
      <c r="B151" s="25">
        <v>172</v>
      </c>
      <c r="C151" s="24" t="str">
        <f t="shared" si="3"/>
        <v>A172</v>
      </c>
      <c r="D151" s="13" t="s">
        <v>154</v>
      </c>
      <c r="E151" s="13" t="s">
        <v>153</v>
      </c>
      <c r="F151" s="13" t="s">
        <v>1386</v>
      </c>
      <c r="G151" s="13" t="s">
        <v>0</v>
      </c>
      <c r="H151" s="13" t="s">
        <v>18</v>
      </c>
      <c r="I151" s="13" t="s">
        <v>9</v>
      </c>
      <c r="J151" s="13" t="s">
        <v>10</v>
      </c>
      <c r="K151" s="13" t="s">
        <v>11</v>
      </c>
      <c r="L151" s="13"/>
      <c r="M151" s="18" t="s">
        <v>2246</v>
      </c>
    </row>
    <row r="152" spans="1:13" ht="21" x14ac:dyDescent="0.25">
      <c r="A152" s="25">
        <v>174</v>
      </c>
      <c r="B152" s="25">
        <v>174</v>
      </c>
      <c r="C152" s="24" t="str">
        <f t="shared" si="3"/>
        <v>A174</v>
      </c>
      <c r="D152" s="13" t="s">
        <v>156</v>
      </c>
      <c r="E152" s="13" t="s">
        <v>155</v>
      </c>
      <c r="F152" s="13" t="s">
        <v>1387</v>
      </c>
      <c r="G152" s="13" t="s">
        <v>0</v>
      </c>
      <c r="H152" s="13" t="s">
        <v>18</v>
      </c>
      <c r="I152" s="13" t="s">
        <v>9</v>
      </c>
      <c r="J152" s="13" t="s">
        <v>10</v>
      </c>
      <c r="K152" s="13" t="s">
        <v>11</v>
      </c>
      <c r="L152" s="13"/>
      <c r="M152" s="18" t="s">
        <v>2246</v>
      </c>
    </row>
    <row r="153" spans="1:13" ht="21" x14ac:dyDescent="0.25">
      <c r="A153" s="25">
        <v>175</v>
      </c>
      <c r="B153" s="25">
        <v>175</v>
      </c>
      <c r="C153" s="24" t="str">
        <f t="shared" si="3"/>
        <v>A175</v>
      </c>
      <c r="D153" s="13" t="s">
        <v>670</v>
      </c>
      <c r="E153" s="13" t="s">
        <v>1279</v>
      </c>
      <c r="F153" s="13" t="s">
        <v>1384</v>
      </c>
      <c r="G153" s="13" t="s">
        <v>0</v>
      </c>
      <c r="H153" s="13" t="s">
        <v>13</v>
      </c>
      <c r="I153" s="13">
        <v>0</v>
      </c>
      <c r="J153" s="13" t="s">
        <v>10</v>
      </c>
      <c r="K153" s="13" t="s">
        <v>11</v>
      </c>
      <c r="L153" s="13"/>
      <c r="M153" s="18" t="s">
        <v>2246</v>
      </c>
    </row>
    <row r="154" spans="1:13" ht="21" x14ac:dyDescent="0.25">
      <c r="A154" s="25">
        <v>176</v>
      </c>
      <c r="B154" s="25">
        <v>176</v>
      </c>
      <c r="C154" s="24" t="str">
        <f t="shared" si="3"/>
        <v>A176</v>
      </c>
      <c r="D154" s="13" t="s">
        <v>1809</v>
      </c>
      <c r="E154" s="13" t="s">
        <v>1810</v>
      </c>
      <c r="F154" s="13" t="s">
        <v>1811</v>
      </c>
      <c r="G154" s="13"/>
      <c r="H154" s="13" t="s">
        <v>13</v>
      </c>
      <c r="I154" s="13" t="s">
        <v>9</v>
      </c>
      <c r="J154" s="13" t="s">
        <v>1807</v>
      </c>
      <c r="K154" s="13" t="s">
        <v>11</v>
      </c>
      <c r="L154" s="13"/>
      <c r="M154" s="18" t="s">
        <v>2246</v>
      </c>
    </row>
    <row r="155" spans="1:13" ht="30" customHeight="1" x14ac:dyDescent="0.25">
      <c r="A155" s="25">
        <v>180</v>
      </c>
      <c r="B155" s="25">
        <v>180</v>
      </c>
      <c r="C155" s="24" t="str">
        <f t="shared" si="3"/>
        <v>A180</v>
      </c>
      <c r="D155" s="13" t="s">
        <v>2330</v>
      </c>
      <c r="E155" s="13" t="s">
        <v>2331</v>
      </c>
      <c r="F155" s="13" t="s">
        <v>2332</v>
      </c>
      <c r="G155" s="13" t="s">
        <v>0</v>
      </c>
      <c r="H155" s="13" t="s">
        <v>662</v>
      </c>
      <c r="I155" s="13" t="s">
        <v>49</v>
      </c>
      <c r="J155" s="13" t="s">
        <v>50</v>
      </c>
      <c r="K155" s="13" t="s">
        <v>11</v>
      </c>
      <c r="L155" s="13"/>
      <c r="M155" s="18" t="s">
        <v>2246</v>
      </c>
    </row>
    <row r="156" spans="1:13" x14ac:dyDescent="0.25">
      <c r="A156" s="25">
        <v>185</v>
      </c>
      <c r="B156" s="25">
        <v>185</v>
      </c>
      <c r="C156" s="24" t="str">
        <f>"A"&amp;B156</f>
        <v>A185</v>
      </c>
      <c r="D156" s="13" t="s">
        <v>671</v>
      </c>
      <c r="E156" s="13" t="s">
        <v>1891</v>
      </c>
      <c r="F156" s="13" t="s">
        <v>1892</v>
      </c>
      <c r="G156" s="13" t="s">
        <v>0</v>
      </c>
      <c r="H156" s="13" t="s">
        <v>18</v>
      </c>
      <c r="I156" s="13" t="s">
        <v>19</v>
      </c>
      <c r="J156" s="13" t="s">
        <v>20</v>
      </c>
      <c r="K156" s="13" t="s">
        <v>11</v>
      </c>
      <c r="L156" s="13"/>
      <c r="M156" s="18" t="s">
        <v>2246</v>
      </c>
    </row>
    <row r="157" spans="1:13" ht="21" x14ac:dyDescent="0.25">
      <c r="A157" s="25">
        <v>186</v>
      </c>
      <c r="B157" s="25">
        <v>186</v>
      </c>
      <c r="C157" s="24" t="str">
        <f t="shared" si="3"/>
        <v>A186</v>
      </c>
      <c r="D157" s="13" t="s">
        <v>672</v>
      </c>
      <c r="E157" s="13" t="s">
        <v>1893</v>
      </c>
      <c r="F157" s="13" t="s">
        <v>1894</v>
      </c>
      <c r="G157" s="13" t="s">
        <v>0</v>
      </c>
      <c r="H157" s="13" t="s">
        <v>13</v>
      </c>
      <c r="I157" s="13" t="s">
        <v>14</v>
      </c>
      <c r="J157" s="13" t="s">
        <v>15</v>
      </c>
      <c r="K157" s="13" t="s">
        <v>16</v>
      </c>
      <c r="L157" s="13"/>
      <c r="M157" s="18" t="s">
        <v>2246</v>
      </c>
    </row>
    <row r="158" spans="1:13" ht="21" x14ac:dyDescent="0.25">
      <c r="A158" s="25">
        <v>187</v>
      </c>
      <c r="B158" s="25">
        <v>187</v>
      </c>
      <c r="C158" s="24" t="str">
        <f t="shared" si="3"/>
        <v>A187</v>
      </c>
      <c r="D158" s="13" t="s">
        <v>673</v>
      </c>
      <c r="E158" s="13" t="s">
        <v>1895</v>
      </c>
      <c r="F158" s="13" t="s">
        <v>1896</v>
      </c>
      <c r="G158" s="13" t="s">
        <v>0</v>
      </c>
      <c r="H158" s="13" t="s">
        <v>13</v>
      </c>
      <c r="I158" s="13">
        <v>0</v>
      </c>
      <c r="J158" s="13" t="s">
        <v>15</v>
      </c>
      <c r="K158" s="13" t="s">
        <v>16</v>
      </c>
      <c r="L158" s="13"/>
      <c r="M158" s="18" t="s">
        <v>2246</v>
      </c>
    </row>
    <row r="159" spans="1:13" x14ac:dyDescent="0.25">
      <c r="A159" s="25">
        <v>188</v>
      </c>
      <c r="B159" s="25">
        <v>188</v>
      </c>
      <c r="C159" s="24" t="str">
        <f t="shared" si="3"/>
        <v>A188</v>
      </c>
      <c r="D159" s="13" t="s">
        <v>674</v>
      </c>
      <c r="E159" s="13" t="s">
        <v>1897</v>
      </c>
      <c r="F159" s="13" t="s">
        <v>1898</v>
      </c>
      <c r="G159" s="13" t="s">
        <v>0</v>
      </c>
      <c r="H159" s="13" t="s">
        <v>675</v>
      </c>
      <c r="I159" s="13">
        <v>0</v>
      </c>
      <c r="J159" s="13" t="s">
        <v>20</v>
      </c>
      <c r="K159" s="13" t="s">
        <v>11</v>
      </c>
      <c r="L159" s="13"/>
      <c r="M159" s="18" t="s">
        <v>2246</v>
      </c>
    </row>
    <row r="160" spans="1:13" ht="21" x14ac:dyDescent="0.25">
      <c r="A160" s="25">
        <v>189</v>
      </c>
      <c r="B160" s="25">
        <v>189</v>
      </c>
      <c r="C160" s="24" t="str">
        <f t="shared" si="3"/>
        <v>A189</v>
      </c>
      <c r="D160" s="13" t="s">
        <v>676</v>
      </c>
      <c r="E160" s="13" t="s">
        <v>1899</v>
      </c>
      <c r="F160" s="13" t="s">
        <v>1900</v>
      </c>
      <c r="G160" s="13" t="s">
        <v>0</v>
      </c>
      <c r="H160" s="13" t="s">
        <v>13</v>
      </c>
      <c r="I160" s="13" t="s">
        <v>9</v>
      </c>
      <c r="J160" s="13" t="s">
        <v>10</v>
      </c>
      <c r="K160" s="13" t="s">
        <v>16</v>
      </c>
      <c r="L160" s="13"/>
      <c r="M160" s="18" t="s">
        <v>2248</v>
      </c>
    </row>
    <row r="161" spans="1:13" ht="21" x14ac:dyDescent="0.25">
      <c r="A161" s="25">
        <v>190</v>
      </c>
      <c r="B161" s="25">
        <v>190</v>
      </c>
      <c r="C161" s="24" t="str">
        <f t="shared" si="3"/>
        <v>A190</v>
      </c>
      <c r="D161" s="13" t="s">
        <v>677</v>
      </c>
      <c r="E161" s="13" t="s">
        <v>1901</v>
      </c>
      <c r="F161" s="13" t="s">
        <v>1902</v>
      </c>
      <c r="G161" s="13" t="s">
        <v>0</v>
      </c>
      <c r="H161" s="13" t="s">
        <v>13</v>
      </c>
      <c r="I161" s="13" t="s">
        <v>9</v>
      </c>
      <c r="J161" s="13" t="s">
        <v>10</v>
      </c>
      <c r="K161" s="13" t="s">
        <v>16</v>
      </c>
      <c r="L161" s="13"/>
      <c r="M161" s="18" t="s">
        <v>2248</v>
      </c>
    </row>
    <row r="162" spans="1:13" ht="21" x14ac:dyDescent="0.25">
      <c r="A162" s="25">
        <v>191</v>
      </c>
      <c r="B162" s="25">
        <v>191</v>
      </c>
      <c r="C162" s="24" t="str">
        <f t="shared" si="3"/>
        <v>A191</v>
      </c>
      <c r="D162" s="13" t="s">
        <v>678</v>
      </c>
      <c r="E162" s="13" t="s">
        <v>1903</v>
      </c>
      <c r="F162" s="13" t="s">
        <v>1904</v>
      </c>
      <c r="G162" s="13" t="s">
        <v>0</v>
      </c>
      <c r="H162" s="13" t="s">
        <v>13</v>
      </c>
      <c r="I162" s="13" t="s">
        <v>9</v>
      </c>
      <c r="J162" s="13" t="s">
        <v>10</v>
      </c>
      <c r="K162" s="13" t="s">
        <v>16</v>
      </c>
      <c r="L162" s="13"/>
      <c r="M162" s="18" t="s">
        <v>2248</v>
      </c>
    </row>
    <row r="163" spans="1:13" ht="21" x14ac:dyDescent="0.25">
      <c r="A163" s="25">
        <v>192</v>
      </c>
      <c r="B163" s="25">
        <v>192</v>
      </c>
      <c r="C163" s="24" t="str">
        <f t="shared" si="3"/>
        <v>A192</v>
      </c>
      <c r="D163" s="13" t="s">
        <v>679</v>
      </c>
      <c r="E163" s="13" t="s">
        <v>2394</v>
      </c>
      <c r="F163" s="13" t="s">
        <v>1905</v>
      </c>
      <c r="G163" s="13" t="s">
        <v>0</v>
      </c>
      <c r="H163" s="13" t="s">
        <v>13</v>
      </c>
      <c r="I163" s="13" t="s">
        <v>9</v>
      </c>
      <c r="J163" s="13" t="s">
        <v>10</v>
      </c>
      <c r="K163" s="13" t="s">
        <v>16</v>
      </c>
      <c r="L163" s="13"/>
      <c r="M163" s="18" t="s">
        <v>2248</v>
      </c>
    </row>
    <row r="164" spans="1:13" ht="21" x14ac:dyDescent="0.25">
      <c r="A164" s="25">
        <v>193</v>
      </c>
      <c r="B164" s="25">
        <v>193</v>
      </c>
      <c r="C164" s="24" t="str">
        <f t="shared" si="3"/>
        <v>A193</v>
      </c>
      <c r="D164" s="13" t="s">
        <v>680</v>
      </c>
      <c r="E164" s="13" t="s">
        <v>1906</v>
      </c>
      <c r="F164" s="13" t="s">
        <v>1907</v>
      </c>
      <c r="G164" s="13" t="s">
        <v>0</v>
      </c>
      <c r="H164" s="13" t="s">
        <v>13</v>
      </c>
      <c r="I164" s="13" t="s">
        <v>9</v>
      </c>
      <c r="J164" s="13" t="s">
        <v>10</v>
      </c>
      <c r="K164" s="13" t="s">
        <v>16</v>
      </c>
      <c r="L164" s="13"/>
      <c r="M164" s="18" t="s">
        <v>2246</v>
      </c>
    </row>
    <row r="165" spans="1:13" ht="21" x14ac:dyDescent="0.25">
      <c r="A165" s="25">
        <v>194</v>
      </c>
      <c r="B165" s="25">
        <v>194</v>
      </c>
      <c r="C165" s="24" t="str">
        <f t="shared" si="3"/>
        <v>A194</v>
      </c>
      <c r="D165" s="13" t="s">
        <v>681</v>
      </c>
      <c r="E165" s="13" t="s">
        <v>1908</v>
      </c>
      <c r="F165" s="13" t="s">
        <v>1909</v>
      </c>
      <c r="G165" s="13" t="s">
        <v>0</v>
      </c>
      <c r="H165" s="13" t="s">
        <v>13</v>
      </c>
      <c r="I165" s="13" t="s">
        <v>9</v>
      </c>
      <c r="J165" s="13" t="s">
        <v>10</v>
      </c>
      <c r="K165" s="13" t="s">
        <v>16</v>
      </c>
      <c r="L165" s="13"/>
      <c r="M165" s="18" t="s">
        <v>2246</v>
      </c>
    </row>
    <row r="166" spans="1:13" x14ac:dyDescent="0.25">
      <c r="A166" s="25">
        <v>195</v>
      </c>
      <c r="B166" s="25">
        <v>195</v>
      </c>
      <c r="C166" s="24" t="str">
        <f t="shared" si="3"/>
        <v>A195</v>
      </c>
      <c r="D166" s="13" t="s">
        <v>682</v>
      </c>
      <c r="E166" s="13" t="s">
        <v>683</v>
      </c>
      <c r="F166" s="13" t="s">
        <v>1388</v>
      </c>
      <c r="G166" s="13" t="s">
        <v>0</v>
      </c>
      <c r="H166" s="13" t="s">
        <v>48</v>
      </c>
      <c r="I166" s="13">
        <v>0</v>
      </c>
      <c r="J166" s="13" t="s">
        <v>27</v>
      </c>
      <c r="K166" s="13" t="s">
        <v>16</v>
      </c>
      <c r="L166" s="13"/>
      <c r="M166" s="18" t="s">
        <v>2246</v>
      </c>
    </row>
    <row r="167" spans="1:13" x14ac:dyDescent="0.25">
      <c r="A167" s="25">
        <v>196</v>
      </c>
      <c r="B167" s="25">
        <v>196</v>
      </c>
      <c r="C167" s="24" t="str">
        <f t="shared" ref="C167:C181" si="4">"A"&amp;B167</f>
        <v>A196</v>
      </c>
      <c r="D167" s="13" t="s">
        <v>684</v>
      </c>
      <c r="E167" s="13" t="s">
        <v>685</v>
      </c>
      <c r="F167" s="13" t="s">
        <v>1389</v>
      </c>
      <c r="G167" s="13" t="s">
        <v>0</v>
      </c>
      <c r="H167" s="13" t="s">
        <v>48</v>
      </c>
      <c r="I167" s="13">
        <v>0</v>
      </c>
      <c r="J167" s="13" t="s">
        <v>27</v>
      </c>
      <c r="K167" s="13" t="s">
        <v>16</v>
      </c>
      <c r="L167" s="13"/>
      <c r="M167" s="18" t="s">
        <v>2246</v>
      </c>
    </row>
    <row r="168" spans="1:13" x14ac:dyDescent="0.25">
      <c r="A168" s="25">
        <v>197</v>
      </c>
      <c r="B168" s="25">
        <v>197</v>
      </c>
      <c r="C168" s="24" t="str">
        <f t="shared" si="4"/>
        <v>A197</v>
      </c>
      <c r="D168" s="13" t="s">
        <v>686</v>
      </c>
      <c r="E168" s="13" t="s">
        <v>687</v>
      </c>
      <c r="F168" s="13" t="s">
        <v>1390</v>
      </c>
      <c r="G168" s="13" t="s">
        <v>0</v>
      </c>
      <c r="H168" s="13" t="s">
        <v>48</v>
      </c>
      <c r="I168" s="13">
        <v>0</v>
      </c>
      <c r="J168" s="13" t="s">
        <v>27</v>
      </c>
      <c r="K168" s="13" t="s">
        <v>16</v>
      </c>
      <c r="L168" s="13"/>
      <c r="M168" s="18" t="s">
        <v>2246</v>
      </c>
    </row>
    <row r="169" spans="1:13" x14ac:dyDescent="0.25">
      <c r="A169" s="25">
        <v>198</v>
      </c>
      <c r="B169" s="25">
        <v>198</v>
      </c>
      <c r="C169" s="24" t="str">
        <f t="shared" si="4"/>
        <v>A198</v>
      </c>
      <c r="D169" s="13" t="s">
        <v>688</v>
      </c>
      <c r="E169" s="13" t="s">
        <v>689</v>
      </c>
      <c r="F169" s="13" t="s">
        <v>1391</v>
      </c>
      <c r="G169" s="13" t="s">
        <v>0</v>
      </c>
      <c r="H169" s="13" t="s">
        <v>48</v>
      </c>
      <c r="I169" s="13">
        <v>0</v>
      </c>
      <c r="J169" s="13" t="s">
        <v>27</v>
      </c>
      <c r="K169" s="13" t="s">
        <v>16</v>
      </c>
      <c r="L169" s="13"/>
      <c r="M169" s="18" t="s">
        <v>2246</v>
      </c>
    </row>
    <row r="170" spans="1:13" x14ac:dyDescent="0.25">
      <c r="A170" s="25">
        <v>199</v>
      </c>
      <c r="B170" s="25">
        <v>199</v>
      </c>
      <c r="C170" s="24" t="str">
        <f t="shared" si="4"/>
        <v>A199</v>
      </c>
      <c r="D170" s="13" t="s">
        <v>690</v>
      </c>
      <c r="E170" s="13" t="s">
        <v>1280</v>
      </c>
      <c r="F170" s="13" t="s">
        <v>1392</v>
      </c>
      <c r="G170" s="13" t="s">
        <v>0</v>
      </c>
      <c r="H170" s="13" t="s">
        <v>48</v>
      </c>
      <c r="I170" s="13">
        <v>0</v>
      </c>
      <c r="J170" s="13" t="s">
        <v>27</v>
      </c>
      <c r="K170" s="13" t="s">
        <v>16</v>
      </c>
      <c r="L170" s="13"/>
      <c r="M170" s="18" t="s">
        <v>2246</v>
      </c>
    </row>
    <row r="171" spans="1:13" x14ac:dyDescent="0.25">
      <c r="A171" s="25">
        <v>200</v>
      </c>
      <c r="B171" s="25">
        <v>200</v>
      </c>
      <c r="C171" s="24" t="str">
        <f t="shared" si="4"/>
        <v>A200</v>
      </c>
      <c r="D171" s="13" t="s">
        <v>691</v>
      </c>
      <c r="E171" s="13" t="s">
        <v>1281</v>
      </c>
      <c r="F171" s="13" t="s">
        <v>1393</v>
      </c>
      <c r="G171" s="13" t="s">
        <v>0</v>
      </c>
      <c r="H171" s="13" t="s">
        <v>48</v>
      </c>
      <c r="I171" s="13">
        <v>0</v>
      </c>
      <c r="J171" s="13" t="s">
        <v>27</v>
      </c>
      <c r="K171" s="13" t="s">
        <v>16</v>
      </c>
      <c r="L171" s="13"/>
      <c r="M171" s="18" t="s">
        <v>2246</v>
      </c>
    </row>
    <row r="172" spans="1:13" x14ac:dyDescent="0.25">
      <c r="A172" s="25">
        <v>201</v>
      </c>
      <c r="B172" s="25">
        <v>201</v>
      </c>
      <c r="C172" s="24" t="str">
        <f t="shared" si="4"/>
        <v>A201</v>
      </c>
      <c r="D172" s="13" t="s">
        <v>692</v>
      </c>
      <c r="E172" s="13" t="s">
        <v>1282</v>
      </c>
      <c r="F172" s="13" t="s">
        <v>1394</v>
      </c>
      <c r="G172" s="13" t="s">
        <v>0</v>
      </c>
      <c r="H172" s="13" t="s">
        <v>48</v>
      </c>
      <c r="I172" s="13">
        <v>0</v>
      </c>
      <c r="J172" s="13" t="s">
        <v>27</v>
      </c>
      <c r="K172" s="13" t="s">
        <v>16</v>
      </c>
      <c r="L172" s="13"/>
      <c r="M172" s="18" t="s">
        <v>2246</v>
      </c>
    </row>
    <row r="173" spans="1:13" x14ac:dyDescent="0.25">
      <c r="A173" s="25">
        <v>202</v>
      </c>
      <c r="B173" s="25">
        <v>202</v>
      </c>
      <c r="C173" s="24" t="str">
        <f t="shared" si="4"/>
        <v>A202</v>
      </c>
      <c r="D173" s="13" t="s">
        <v>693</v>
      </c>
      <c r="E173" s="13" t="s">
        <v>1283</v>
      </c>
      <c r="F173" s="13" t="s">
        <v>1395</v>
      </c>
      <c r="G173" s="13" t="s">
        <v>0</v>
      </c>
      <c r="H173" s="13" t="s">
        <v>48</v>
      </c>
      <c r="I173" s="13">
        <v>0</v>
      </c>
      <c r="J173" s="13" t="s">
        <v>27</v>
      </c>
      <c r="K173" s="13" t="s">
        <v>16</v>
      </c>
      <c r="L173" s="13"/>
      <c r="M173" s="18" t="s">
        <v>2246</v>
      </c>
    </row>
    <row r="174" spans="1:13" ht="21" x14ac:dyDescent="0.25">
      <c r="A174" s="25">
        <v>244</v>
      </c>
      <c r="B174" s="25">
        <v>244</v>
      </c>
      <c r="C174" s="24" t="str">
        <f t="shared" si="4"/>
        <v>A244</v>
      </c>
      <c r="D174" s="13" t="s">
        <v>694</v>
      </c>
      <c r="E174" s="13" t="s">
        <v>1910</v>
      </c>
      <c r="F174" s="13" t="s">
        <v>1911</v>
      </c>
      <c r="G174" s="13" t="s">
        <v>0</v>
      </c>
      <c r="H174" s="13" t="s">
        <v>13</v>
      </c>
      <c r="I174" s="13">
        <v>0</v>
      </c>
      <c r="J174" s="13" t="s">
        <v>10</v>
      </c>
      <c r="K174" s="13" t="s">
        <v>16</v>
      </c>
      <c r="L174" s="13"/>
      <c r="M174" s="18" t="s">
        <v>2248</v>
      </c>
    </row>
    <row r="175" spans="1:13" ht="21" x14ac:dyDescent="0.25">
      <c r="A175" s="25">
        <v>245</v>
      </c>
      <c r="B175" s="25">
        <v>245</v>
      </c>
      <c r="C175" s="24" t="str">
        <f t="shared" si="4"/>
        <v>A245</v>
      </c>
      <c r="D175" s="13" t="s">
        <v>695</v>
      </c>
      <c r="E175" s="13" t="s">
        <v>1913</v>
      </c>
      <c r="F175" s="13" t="s">
        <v>1912</v>
      </c>
      <c r="G175" s="13" t="s">
        <v>0</v>
      </c>
      <c r="H175" s="13" t="s">
        <v>13</v>
      </c>
      <c r="I175" s="13">
        <v>0</v>
      </c>
      <c r="J175" s="13" t="s">
        <v>10</v>
      </c>
      <c r="K175" s="13" t="s">
        <v>16</v>
      </c>
      <c r="L175" s="13"/>
      <c r="M175" s="18" t="s">
        <v>2248</v>
      </c>
    </row>
    <row r="176" spans="1:13" ht="21" x14ac:dyDescent="0.25">
      <c r="A176" s="25">
        <v>246</v>
      </c>
      <c r="B176" s="25">
        <v>246</v>
      </c>
      <c r="C176" s="24" t="str">
        <f t="shared" si="4"/>
        <v>A246</v>
      </c>
      <c r="D176" s="13" t="s">
        <v>696</v>
      </c>
      <c r="E176" s="13" t="s">
        <v>1914</v>
      </c>
      <c r="F176" s="13" t="s">
        <v>1915</v>
      </c>
      <c r="G176" s="13" t="s">
        <v>0</v>
      </c>
      <c r="H176" s="13" t="s">
        <v>8</v>
      </c>
      <c r="I176" s="13">
        <v>0</v>
      </c>
      <c r="J176" s="13" t="s">
        <v>27</v>
      </c>
      <c r="K176" s="13" t="s">
        <v>16</v>
      </c>
      <c r="L176" s="13"/>
      <c r="M176" s="18" t="s">
        <v>2248</v>
      </c>
    </row>
    <row r="177" spans="1:13" ht="21" x14ac:dyDescent="0.25">
      <c r="A177" s="25">
        <v>247</v>
      </c>
      <c r="B177" s="25">
        <v>247</v>
      </c>
      <c r="C177" s="24" t="str">
        <f t="shared" si="4"/>
        <v>A247</v>
      </c>
      <c r="D177" s="13" t="s">
        <v>697</v>
      </c>
      <c r="E177" s="13" t="s">
        <v>1917</v>
      </c>
      <c r="F177" s="13" t="s">
        <v>1916</v>
      </c>
      <c r="G177" s="13" t="s">
        <v>0</v>
      </c>
      <c r="H177" s="13" t="s">
        <v>13</v>
      </c>
      <c r="I177" s="13">
        <v>0</v>
      </c>
      <c r="J177" s="13" t="s">
        <v>27</v>
      </c>
      <c r="K177" s="13" t="s">
        <v>16</v>
      </c>
      <c r="L177" s="13"/>
      <c r="M177" s="18" t="s">
        <v>2248</v>
      </c>
    </row>
    <row r="178" spans="1:13" ht="31.5" x14ac:dyDescent="0.25">
      <c r="A178" s="25">
        <v>248</v>
      </c>
      <c r="B178" s="25">
        <v>248</v>
      </c>
      <c r="C178" s="24" t="str">
        <f t="shared" si="4"/>
        <v>A248</v>
      </c>
      <c r="D178" s="13" t="s">
        <v>698</v>
      </c>
      <c r="E178" s="13" t="s">
        <v>1918</v>
      </c>
      <c r="F178" s="13" t="s">
        <v>1919</v>
      </c>
      <c r="G178" s="13" t="s">
        <v>0</v>
      </c>
      <c r="H178" s="13" t="s">
        <v>8</v>
      </c>
      <c r="I178" s="13">
        <v>0</v>
      </c>
      <c r="J178" s="13" t="s">
        <v>27</v>
      </c>
      <c r="K178" s="13" t="s">
        <v>16</v>
      </c>
      <c r="L178" s="13"/>
      <c r="M178" s="18" t="s">
        <v>2248</v>
      </c>
    </row>
    <row r="179" spans="1:13" ht="21" x14ac:dyDescent="0.25">
      <c r="A179" s="25">
        <v>249</v>
      </c>
      <c r="B179" s="25">
        <v>249</v>
      </c>
      <c r="C179" s="24" t="str">
        <f t="shared" si="4"/>
        <v>A249</v>
      </c>
      <c r="D179" s="13" t="s">
        <v>699</v>
      </c>
      <c r="E179" s="13" t="s">
        <v>1920</v>
      </c>
      <c r="F179" s="13" t="s">
        <v>1921</v>
      </c>
      <c r="G179" s="13" t="s">
        <v>0</v>
      </c>
      <c r="H179" s="13" t="s">
        <v>8</v>
      </c>
      <c r="I179" s="13">
        <v>0</v>
      </c>
      <c r="J179" s="13" t="s">
        <v>27</v>
      </c>
      <c r="K179" s="13" t="s">
        <v>16</v>
      </c>
      <c r="L179" s="13"/>
      <c r="M179" s="18" t="s">
        <v>2248</v>
      </c>
    </row>
    <row r="180" spans="1:13" ht="21" x14ac:dyDescent="0.25">
      <c r="A180" s="25">
        <v>250</v>
      </c>
      <c r="B180" s="25">
        <v>250</v>
      </c>
      <c r="C180" s="24" t="str">
        <f t="shared" si="4"/>
        <v>A250</v>
      </c>
      <c r="D180" s="13" t="s">
        <v>700</v>
      </c>
      <c r="E180" s="13" t="s">
        <v>1922</v>
      </c>
      <c r="F180" s="13" t="s">
        <v>1923</v>
      </c>
      <c r="G180" s="13" t="s">
        <v>0</v>
      </c>
      <c r="H180" s="13" t="s">
        <v>13</v>
      </c>
      <c r="I180" s="13">
        <v>0</v>
      </c>
      <c r="J180" s="13" t="s">
        <v>15</v>
      </c>
      <c r="K180" s="13" t="s">
        <v>16</v>
      </c>
      <c r="L180" s="13"/>
      <c r="M180" s="18" t="s">
        <v>2248</v>
      </c>
    </row>
    <row r="181" spans="1:13" ht="52.5" x14ac:dyDescent="0.25">
      <c r="A181" s="25">
        <v>251</v>
      </c>
      <c r="B181" s="25">
        <v>251</v>
      </c>
      <c r="C181" s="24" t="str">
        <f t="shared" si="4"/>
        <v>A251</v>
      </c>
      <c r="D181" s="13" t="s">
        <v>701</v>
      </c>
      <c r="E181" s="13" t="s">
        <v>1924</v>
      </c>
      <c r="F181" s="13" t="s">
        <v>1925</v>
      </c>
      <c r="G181" s="13" t="s">
        <v>0</v>
      </c>
      <c r="H181" s="13" t="s">
        <v>13</v>
      </c>
      <c r="I181" s="13" t="s">
        <v>9</v>
      </c>
      <c r="J181" s="13" t="s">
        <v>10</v>
      </c>
      <c r="K181" s="13" t="s">
        <v>16</v>
      </c>
      <c r="L181" s="13"/>
      <c r="M181" s="18" t="s">
        <v>2248</v>
      </c>
    </row>
    <row r="182" spans="1:13" ht="21" x14ac:dyDescent="0.25">
      <c r="A182" s="25">
        <v>272</v>
      </c>
      <c r="B182" s="25">
        <v>272</v>
      </c>
      <c r="C182" s="24" t="str">
        <f t="shared" ref="C182:C229" si="5">"A"&amp;B182</f>
        <v>A272</v>
      </c>
      <c r="D182" s="13" t="s">
        <v>2339</v>
      </c>
      <c r="E182" s="13" t="s">
        <v>2393</v>
      </c>
      <c r="F182" s="13" t="s">
        <v>2348</v>
      </c>
      <c r="G182" s="13" t="s">
        <v>0</v>
      </c>
      <c r="H182" s="13" t="s">
        <v>659</v>
      </c>
      <c r="I182" s="13" t="s">
        <v>702</v>
      </c>
      <c r="J182" s="13" t="s">
        <v>703</v>
      </c>
      <c r="K182" s="13" t="s">
        <v>16</v>
      </c>
      <c r="L182" s="13"/>
      <c r="M182" s="18" t="s">
        <v>2395</v>
      </c>
    </row>
    <row r="183" spans="1:13" ht="12" customHeight="1" x14ac:dyDescent="0.25">
      <c r="A183" s="25">
        <v>273</v>
      </c>
      <c r="B183" s="25">
        <v>273</v>
      </c>
      <c r="C183" s="24" t="str">
        <f t="shared" ref="C183:C185" si="6">"A"&amp;B183</f>
        <v>A273</v>
      </c>
      <c r="D183" s="13" t="s">
        <v>2333</v>
      </c>
      <c r="E183" s="13" t="s">
        <v>2341</v>
      </c>
      <c r="F183" s="13" t="s">
        <v>2349</v>
      </c>
      <c r="G183" s="13" t="s">
        <v>0</v>
      </c>
      <c r="H183" s="13" t="s">
        <v>659</v>
      </c>
      <c r="I183" s="13" t="s">
        <v>660</v>
      </c>
      <c r="J183" s="13" t="s">
        <v>661</v>
      </c>
      <c r="K183" s="13" t="s">
        <v>11</v>
      </c>
      <c r="L183" s="13"/>
      <c r="M183" s="18" t="s">
        <v>2395</v>
      </c>
    </row>
    <row r="184" spans="1:13" ht="21" x14ac:dyDescent="0.25">
      <c r="A184" s="25">
        <v>274</v>
      </c>
      <c r="B184" s="25">
        <v>274</v>
      </c>
      <c r="C184" s="24" t="str">
        <f>"A"&amp;B184</f>
        <v>A274</v>
      </c>
      <c r="D184" s="13" t="s">
        <v>2338</v>
      </c>
      <c r="E184" s="13" t="s">
        <v>2347</v>
      </c>
      <c r="F184" s="13" t="s">
        <v>2350</v>
      </c>
      <c r="G184" s="13" t="s">
        <v>0</v>
      </c>
      <c r="H184" s="13" t="s">
        <v>48</v>
      </c>
      <c r="I184" s="13" t="s">
        <v>704</v>
      </c>
      <c r="J184" s="13" t="s">
        <v>705</v>
      </c>
      <c r="K184" s="13" t="s">
        <v>16</v>
      </c>
      <c r="L184" s="13"/>
      <c r="M184" s="18" t="s">
        <v>2395</v>
      </c>
    </row>
    <row r="185" spans="1:13" ht="21" x14ac:dyDescent="0.25">
      <c r="A185" s="25">
        <v>275</v>
      </c>
      <c r="B185" s="25">
        <v>275</v>
      </c>
      <c r="C185" s="24" t="str">
        <f t="shared" si="6"/>
        <v>A275</v>
      </c>
      <c r="D185" s="13" t="s">
        <v>2334</v>
      </c>
      <c r="E185" s="13" t="s">
        <v>2342</v>
      </c>
      <c r="F185" s="13" t="s">
        <v>2348</v>
      </c>
      <c r="G185" s="13" t="s">
        <v>0</v>
      </c>
      <c r="H185" s="13" t="s">
        <v>48</v>
      </c>
      <c r="I185" s="13" t="s">
        <v>702</v>
      </c>
      <c r="J185" s="13" t="s">
        <v>661</v>
      </c>
      <c r="K185" s="13" t="s">
        <v>11</v>
      </c>
      <c r="L185" s="13"/>
      <c r="M185" s="18" t="s">
        <v>2395</v>
      </c>
    </row>
    <row r="186" spans="1:13" ht="21" x14ac:dyDescent="0.25">
      <c r="A186" s="25">
        <v>276</v>
      </c>
      <c r="B186" s="25">
        <v>276</v>
      </c>
      <c r="C186" s="24" t="str">
        <f>"A"&amp;B186</f>
        <v>A276</v>
      </c>
      <c r="D186" s="13" t="s">
        <v>2337</v>
      </c>
      <c r="E186" s="13" t="s">
        <v>2346</v>
      </c>
      <c r="F186" s="13" t="s">
        <v>2351</v>
      </c>
      <c r="G186" s="13" t="s">
        <v>0</v>
      </c>
      <c r="H186" s="13" t="s">
        <v>659</v>
      </c>
      <c r="I186" s="13" t="s">
        <v>702</v>
      </c>
      <c r="J186" s="13" t="s">
        <v>703</v>
      </c>
      <c r="K186" s="13" t="s">
        <v>16</v>
      </c>
      <c r="L186" s="13"/>
      <c r="M186" s="18" t="s">
        <v>2395</v>
      </c>
    </row>
    <row r="187" spans="1:13" ht="12" customHeight="1" x14ac:dyDescent="0.25">
      <c r="A187" s="25">
        <v>277</v>
      </c>
      <c r="B187" s="25">
        <v>277</v>
      </c>
      <c r="C187" s="24" t="str">
        <f>"A"&amp;B187</f>
        <v>A277</v>
      </c>
      <c r="D187" s="13" t="s">
        <v>2336</v>
      </c>
      <c r="E187" s="13" t="s">
        <v>2344</v>
      </c>
      <c r="F187" s="13" t="s">
        <v>2352</v>
      </c>
      <c r="G187" s="13" t="s">
        <v>0</v>
      </c>
      <c r="H187" s="13" t="s">
        <v>659</v>
      </c>
      <c r="I187" s="13" t="s">
        <v>660</v>
      </c>
      <c r="J187" s="13" t="s">
        <v>661</v>
      </c>
      <c r="K187" s="13" t="s">
        <v>11</v>
      </c>
      <c r="L187" s="13"/>
      <c r="M187" s="18" t="s">
        <v>2395</v>
      </c>
    </row>
    <row r="188" spans="1:13" ht="21" x14ac:dyDescent="0.25">
      <c r="A188" s="25">
        <v>278</v>
      </c>
      <c r="B188" s="25">
        <v>278</v>
      </c>
      <c r="C188" s="24" t="str">
        <f>"A"&amp;B188</f>
        <v>A278</v>
      </c>
      <c r="D188" s="13" t="s">
        <v>2340</v>
      </c>
      <c r="E188" s="13" t="s">
        <v>2345</v>
      </c>
      <c r="F188" s="13" t="s">
        <v>2353</v>
      </c>
      <c r="G188" s="13" t="s">
        <v>0</v>
      </c>
      <c r="H188" s="13" t="s">
        <v>48</v>
      </c>
      <c r="I188" s="13" t="s">
        <v>704</v>
      </c>
      <c r="J188" s="13" t="s">
        <v>705</v>
      </c>
      <c r="K188" s="13" t="s">
        <v>16</v>
      </c>
      <c r="L188" s="13"/>
      <c r="M188" s="18" t="s">
        <v>2395</v>
      </c>
    </row>
    <row r="189" spans="1:13" x14ac:dyDescent="0.25">
      <c r="A189" s="25">
        <v>279</v>
      </c>
      <c r="B189" s="25">
        <v>279</v>
      </c>
      <c r="C189" s="24" t="str">
        <f>"A"&amp;B189</f>
        <v>A279</v>
      </c>
      <c r="D189" s="13" t="s">
        <v>2335</v>
      </c>
      <c r="E189" s="13" t="s">
        <v>2343</v>
      </c>
      <c r="F189" s="13" t="s">
        <v>2354</v>
      </c>
      <c r="G189" s="13" t="s">
        <v>0</v>
      </c>
      <c r="H189" s="13" t="s">
        <v>48</v>
      </c>
      <c r="I189" s="13" t="s">
        <v>648</v>
      </c>
      <c r="J189" s="13" t="s">
        <v>649</v>
      </c>
      <c r="K189" s="13" t="s">
        <v>11</v>
      </c>
      <c r="L189" s="13"/>
      <c r="M189" s="18" t="s">
        <v>2395</v>
      </c>
    </row>
    <row r="190" spans="1:13" ht="21" x14ac:dyDescent="0.25">
      <c r="A190" s="25">
        <v>281</v>
      </c>
      <c r="B190" s="25">
        <v>281</v>
      </c>
      <c r="C190" s="24" t="str">
        <f t="shared" si="5"/>
        <v>A281</v>
      </c>
      <c r="D190" s="13" t="s">
        <v>706</v>
      </c>
      <c r="E190" s="13" t="s">
        <v>1928</v>
      </c>
      <c r="F190" s="13" t="s">
        <v>1930</v>
      </c>
      <c r="G190" s="13" t="s">
        <v>647</v>
      </c>
      <c r="H190" s="13" t="s">
        <v>13</v>
      </c>
      <c r="I190" s="13" t="s">
        <v>660</v>
      </c>
      <c r="J190" s="13" t="s">
        <v>661</v>
      </c>
      <c r="K190" s="13" t="s">
        <v>16</v>
      </c>
      <c r="L190" s="13"/>
      <c r="M190" s="18" t="s">
        <v>2395</v>
      </c>
    </row>
    <row r="191" spans="1:13" ht="21" x14ac:dyDescent="0.25">
      <c r="A191" s="25">
        <v>283</v>
      </c>
      <c r="B191" s="25">
        <v>283</v>
      </c>
      <c r="C191" s="24" t="str">
        <f t="shared" si="5"/>
        <v>A283</v>
      </c>
      <c r="D191" s="13" t="s">
        <v>707</v>
      </c>
      <c r="E191" s="13" t="s">
        <v>1929</v>
      </c>
      <c r="F191" s="13" t="s">
        <v>1933</v>
      </c>
      <c r="G191" s="13" t="s">
        <v>647</v>
      </c>
      <c r="H191" s="13" t="s">
        <v>13</v>
      </c>
      <c r="I191" s="13" t="s">
        <v>702</v>
      </c>
      <c r="J191" s="13" t="s">
        <v>661</v>
      </c>
      <c r="K191" s="13" t="s">
        <v>16</v>
      </c>
      <c r="L191" s="13"/>
      <c r="M191" s="18" t="s">
        <v>2395</v>
      </c>
    </row>
    <row r="192" spans="1:13" ht="21" x14ac:dyDescent="0.25">
      <c r="A192" s="25">
        <v>285</v>
      </c>
      <c r="B192" s="25">
        <v>285</v>
      </c>
      <c r="C192" s="24" t="str">
        <f t="shared" si="5"/>
        <v>A285</v>
      </c>
      <c r="D192" s="13" t="s">
        <v>708</v>
      </c>
      <c r="E192" s="13" t="s">
        <v>1926</v>
      </c>
      <c r="F192" s="13" t="s">
        <v>1931</v>
      </c>
      <c r="G192" s="13" t="s">
        <v>647</v>
      </c>
      <c r="H192" s="13" t="s">
        <v>13</v>
      </c>
      <c r="I192" s="13" t="s">
        <v>660</v>
      </c>
      <c r="J192" s="13" t="s">
        <v>661</v>
      </c>
      <c r="K192" s="13" t="s">
        <v>16</v>
      </c>
      <c r="L192" s="13"/>
      <c r="M192" s="18" t="s">
        <v>2395</v>
      </c>
    </row>
    <row r="193" spans="1:13" ht="21" x14ac:dyDescent="0.25">
      <c r="A193" s="25">
        <v>287</v>
      </c>
      <c r="B193" s="25">
        <v>287</v>
      </c>
      <c r="C193" s="24" t="str">
        <f t="shared" si="5"/>
        <v>A287</v>
      </c>
      <c r="D193" s="13" t="s">
        <v>709</v>
      </c>
      <c r="E193" s="13" t="s">
        <v>1927</v>
      </c>
      <c r="F193" s="13" t="s">
        <v>1932</v>
      </c>
      <c r="G193" s="13" t="s">
        <v>647</v>
      </c>
      <c r="H193" s="13" t="s">
        <v>48</v>
      </c>
      <c r="I193" s="13" t="s">
        <v>648</v>
      </c>
      <c r="J193" s="13" t="s">
        <v>649</v>
      </c>
      <c r="K193" s="13" t="s">
        <v>16</v>
      </c>
      <c r="L193" s="13"/>
      <c r="M193" s="18" t="s">
        <v>2395</v>
      </c>
    </row>
    <row r="194" spans="1:13" ht="42" x14ac:dyDescent="0.25">
      <c r="A194" s="25">
        <v>288</v>
      </c>
      <c r="B194" s="25">
        <v>288</v>
      </c>
      <c r="C194" s="24" t="str">
        <f t="shared" si="5"/>
        <v>A288</v>
      </c>
      <c r="D194" s="13" t="s">
        <v>710</v>
      </c>
      <c r="E194" s="13" t="s">
        <v>1935</v>
      </c>
      <c r="F194" s="13" t="s">
        <v>1936</v>
      </c>
      <c r="G194" s="13" t="s">
        <v>0</v>
      </c>
      <c r="H194" s="13" t="s">
        <v>1934</v>
      </c>
      <c r="I194" s="13" t="s">
        <v>14</v>
      </c>
      <c r="J194" s="13" t="s">
        <v>15</v>
      </c>
      <c r="K194" s="13" t="s">
        <v>11</v>
      </c>
      <c r="L194" s="13"/>
      <c r="M194" s="18" t="s">
        <v>2246</v>
      </c>
    </row>
    <row r="195" spans="1:13" ht="31.5" x14ac:dyDescent="0.25">
      <c r="A195" s="25">
        <v>289</v>
      </c>
      <c r="B195" s="25">
        <v>289</v>
      </c>
      <c r="C195" s="24" t="str">
        <f t="shared" si="5"/>
        <v>A289</v>
      </c>
      <c r="D195" s="13" t="s">
        <v>711</v>
      </c>
      <c r="E195" s="13" t="s">
        <v>1938</v>
      </c>
      <c r="F195" s="13" t="s">
        <v>1940</v>
      </c>
      <c r="G195" s="13" t="s">
        <v>0</v>
      </c>
      <c r="H195" s="13" t="s">
        <v>18</v>
      </c>
      <c r="I195" s="13">
        <v>0</v>
      </c>
      <c r="J195" s="13" t="s">
        <v>15</v>
      </c>
      <c r="K195" s="13" t="s">
        <v>16</v>
      </c>
      <c r="L195" s="13" t="s">
        <v>2397</v>
      </c>
      <c r="M195" s="18" t="s">
        <v>2246</v>
      </c>
    </row>
    <row r="196" spans="1:13" ht="31.5" x14ac:dyDescent="0.25">
      <c r="A196" s="25">
        <v>290</v>
      </c>
      <c r="B196" s="25">
        <v>290</v>
      </c>
      <c r="C196" s="24" t="str">
        <f t="shared" si="5"/>
        <v>A290</v>
      </c>
      <c r="D196" s="13" t="s">
        <v>712</v>
      </c>
      <c r="E196" s="13" t="s">
        <v>1939</v>
      </c>
      <c r="F196" s="13" t="s">
        <v>1941</v>
      </c>
      <c r="G196" s="13" t="s">
        <v>0</v>
      </c>
      <c r="H196" s="13" t="s">
        <v>18</v>
      </c>
      <c r="I196" s="13">
        <v>0</v>
      </c>
      <c r="J196" s="13" t="s">
        <v>15</v>
      </c>
      <c r="K196" s="13" t="s">
        <v>16</v>
      </c>
      <c r="L196" s="13" t="s">
        <v>2397</v>
      </c>
      <c r="M196" s="18" t="s">
        <v>2246</v>
      </c>
    </row>
    <row r="197" spans="1:13" ht="31.5" x14ac:dyDescent="0.25">
      <c r="A197" s="25">
        <v>291</v>
      </c>
      <c r="B197" s="25">
        <v>291</v>
      </c>
      <c r="C197" s="24" t="str">
        <f t="shared" si="5"/>
        <v>A291</v>
      </c>
      <c r="D197" s="13" t="s">
        <v>713</v>
      </c>
      <c r="E197" s="13" t="s">
        <v>1942</v>
      </c>
      <c r="F197" s="13" t="s">
        <v>1943</v>
      </c>
      <c r="G197" s="13" t="s">
        <v>0</v>
      </c>
      <c r="H197" s="13" t="s">
        <v>18</v>
      </c>
      <c r="I197" s="13" t="s">
        <v>9</v>
      </c>
      <c r="J197" s="13" t="s">
        <v>10</v>
      </c>
      <c r="K197" s="13" t="s">
        <v>16</v>
      </c>
      <c r="L197" s="13"/>
      <c r="M197" s="18" t="s">
        <v>2246</v>
      </c>
    </row>
    <row r="198" spans="1:13" ht="21" x14ac:dyDescent="0.25">
      <c r="A198" s="25">
        <v>292</v>
      </c>
      <c r="B198" s="25">
        <v>292</v>
      </c>
      <c r="C198" s="24" t="str">
        <f t="shared" si="5"/>
        <v>A292</v>
      </c>
      <c r="D198" s="13" t="s">
        <v>714</v>
      </c>
      <c r="E198" s="13" t="s">
        <v>1944</v>
      </c>
      <c r="F198" s="13" t="s">
        <v>1945</v>
      </c>
      <c r="G198" s="13" t="s">
        <v>0</v>
      </c>
      <c r="H198" s="13" t="s">
        <v>18</v>
      </c>
      <c r="I198" s="13" t="s">
        <v>9</v>
      </c>
      <c r="J198" s="13" t="s">
        <v>10</v>
      </c>
      <c r="K198" s="13" t="s">
        <v>16</v>
      </c>
      <c r="L198" s="13" t="s">
        <v>2396</v>
      </c>
      <c r="M198" s="18" t="s">
        <v>2246</v>
      </c>
    </row>
    <row r="199" spans="1:13" x14ac:dyDescent="0.25">
      <c r="A199" s="25">
        <v>293</v>
      </c>
      <c r="B199" s="25">
        <v>293</v>
      </c>
      <c r="C199" s="24" t="str">
        <f t="shared" si="5"/>
        <v>A293</v>
      </c>
      <c r="D199" s="13" t="s">
        <v>715</v>
      </c>
      <c r="E199" s="13" t="s">
        <v>1284</v>
      </c>
      <c r="F199" s="13" t="s">
        <v>1398</v>
      </c>
      <c r="G199" s="13" t="s">
        <v>0</v>
      </c>
      <c r="H199" s="13" t="s">
        <v>18</v>
      </c>
      <c r="I199" s="13">
        <v>0</v>
      </c>
      <c r="J199" s="13" t="s">
        <v>27</v>
      </c>
      <c r="K199" s="13" t="s">
        <v>16</v>
      </c>
      <c r="L199" s="13"/>
      <c r="M199" s="18" t="s">
        <v>2246</v>
      </c>
    </row>
    <row r="200" spans="1:13" ht="21" x14ac:dyDescent="0.25">
      <c r="A200" s="25">
        <v>294</v>
      </c>
      <c r="B200" s="25">
        <v>294</v>
      </c>
      <c r="C200" s="24" t="str">
        <f t="shared" si="5"/>
        <v>A294</v>
      </c>
      <c r="D200" s="13" t="s">
        <v>716</v>
      </c>
      <c r="E200" s="13" t="s">
        <v>1285</v>
      </c>
      <c r="F200" s="13" t="s">
        <v>1399</v>
      </c>
      <c r="G200" s="13" t="s">
        <v>0</v>
      </c>
      <c r="H200" s="13" t="s">
        <v>8</v>
      </c>
      <c r="I200" s="13">
        <v>0</v>
      </c>
      <c r="J200" s="13" t="s">
        <v>78</v>
      </c>
      <c r="K200" s="13" t="s">
        <v>16</v>
      </c>
      <c r="L200" s="13"/>
      <c r="M200" s="18" t="s">
        <v>2248</v>
      </c>
    </row>
    <row r="201" spans="1:13" x14ac:dyDescent="0.25">
      <c r="A201" s="25">
        <v>295</v>
      </c>
      <c r="B201" s="25">
        <v>295</v>
      </c>
      <c r="C201" s="24" t="str">
        <f t="shared" si="5"/>
        <v>A295</v>
      </c>
      <c r="D201" s="13" t="s">
        <v>717</v>
      </c>
      <c r="E201" s="13" t="s">
        <v>1286</v>
      </c>
      <c r="F201" s="13" t="s">
        <v>1397</v>
      </c>
      <c r="G201" s="13" t="s">
        <v>0</v>
      </c>
      <c r="H201" s="13" t="s">
        <v>8</v>
      </c>
      <c r="I201" s="13">
        <v>0</v>
      </c>
      <c r="J201" s="13" t="s">
        <v>15</v>
      </c>
      <c r="K201" s="13" t="s">
        <v>16</v>
      </c>
      <c r="L201" s="13"/>
      <c r="M201" s="18" t="s">
        <v>2248</v>
      </c>
    </row>
    <row r="202" spans="1:13" ht="21" x14ac:dyDescent="0.25">
      <c r="A202" s="25">
        <v>296</v>
      </c>
      <c r="B202" s="25">
        <v>296</v>
      </c>
      <c r="C202" s="24" t="str">
        <f t="shared" si="5"/>
        <v>A296</v>
      </c>
      <c r="D202" s="13" t="s">
        <v>718</v>
      </c>
      <c r="E202" s="13" t="s">
        <v>1287</v>
      </c>
      <c r="F202" s="13" t="s">
        <v>1396</v>
      </c>
      <c r="G202" s="13" t="s">
        <v>0</v>
      </c>
      <c r="H202" s="13" t="s">
        <v>8</v>
      </c>
      <c r="I202" s="13">
        <v>0</v>
      </c>
      <c r="J202" s="13" t="s">
        <v>78</v>
      </c>
      <c r="K202" s="13" t="s">
        <v>16</v>
      </c>
      <c r="L202" s="13"/>
      <c r="M202" s="18" t="s">
        <v>2248</v>
      </c>
    </row>
    <row r="203" spans="1:13" ht="21" x14ac:dyDescent="0.25">
      <c r="A203" s="25">
        <v>297</v>
      </c>
      <c r="B203" s="25">
        <v>297</v>
      </c>
      <c r="C203" s="24" t="str">
        <f t="shared" si="5"/>
        <v>A297</v>
      </c>
      <c r="D203" s="13" t="s">
        <v>719</v>
      </c>
      <c r="E203" s="13" t="s">
        <v>1288</v>
      </c>
      <c r="F203" s="13" t="s">
        <v>1400</v>
      </c>
      <c r="G203" s="13" t="s">
        <v>0</v>
      </c>
      <c r="H203" s="13" t="s">
        <v>8</v>
      </c>
      <c r="I203" s="13">
        <v>0</v>
      </c>
      <c r="J203" s="13" t="s">
        <v>78</v>
      </c>
      <c r="K203" s="13" t="s">
        <v>16</v>
      </c>
      <c r="L203" s="13"/>
      <c r="M203" s="18" t="s">
        <v>2248</v>
      </c>
    </row>
    <row r="204" spans="1:13" x14ac:dyDescent="0.25">
      <c r="A204" s="25">
        <v>298</v>
      </c>
      <c r="B204" s="25">
        <v>298</v>
      </c>
      <c r="C204" s="24" t="str">
        <f t="shared" si="5"/>
        <v>A298</v>
      </c>
      <c r="D204" s="13" t="s">
        <v>720</v>
      </c>
      <c r="E204" s="13" t="s">
        <v>1946</v>
      </c>
      <c r="F204" s="13" t="s">
        <v>1947</v>
      </c>
      <c r="G204" s="13" t="s">
        <v>0</v>
      </c>
      <c r="H204" s="13" t="s">
        <v>13</v>
      </c>
      <c r="I204" s="13">
        <v>0</v>
      </c>
      <c r="J204" s="13" t="s">
        <v>15</v>
      </c>
      <c r="K204" s="13" t="s">
        <v>16</v>
      </c>
      <c r="L204" s="13"/>
      <c r="M204" s="18" t="s">
        <v>2246</v>
      </c>
    </row>
    <row r="205" spans="1:13" x14ac:dyDescent="0.25">
      <c r="A205" s="25">
        <v>299</v>
      </c>
      <c r="B205" s="25">
        <v>299</v>
      </c>
      <c r="C205" s="24" t="str">
        <f t="shared" si="5"/>
        <v>A299</v>
      </c>
      <c r="D205" s="13" t="s">
        <v>721</v>
      </c>
      <c r="E205" s="13" t="s">
        <v>1948</v>
      </c>
      <c r="F205" s="13" t="s">
        <v>1949</v>
      </c>
      <c r="G205" s="13" t="s">
        <v>81</v>
      </c>
      <c r="H205" s="13" t="s">
        <v>8</v>
      </c>
      <c r="I205" s="13">
        <v>0</v>
      </c>
      <c r="J205" s="13" t="s">
        <v>27</v>
      </c>
      <c r="K205" s="13" t="s">
        <v>16</v>
      </c>
      <c r="L205" s="13"/>
      <c r="M205" s="18" t="s">
        <v>2246</v>
      </c>
    </row>
    <row r="206" spans="1:13" ht="21" x14ac:dyDescent="0.25">
      <c r="A206" s="25">
        <v>300</v>
      </c>
      <c r="B206" s="25">
        <v>300</v>
      </c>
      <c r="C206" s="24" t="str">
        <f t="shared" si="5"/>
        <v>A300</v>
      </c>
      <c r="D206" s="13" t="s">
        <v>722</v>
      </c>
      <c r="E206" s="13" t="s">
        <v>1950</v>
      </c>
      <c r="F206" s="13" t="s">
        <v>1949</v>
      </c>
      <c r="G206" s="13" t="s">
        <v>81</v>
      </c>
      <c r="H206" s="13" t="s">
        <v>8</v>
      </c>
      <c r="I206" s="13">
        <v>0</v>
      </c>
      <c r="J206" s="13" t="s">
        <v>27</v>
      </c>
      <c r="K206" s="13" t="s">
        <v>16</v>
      </c>
      <c r="L206" s="13"/>
      <c r="M206" s="18" t="s">
        <v>2246</v>
      </c>
    </row>
    <row r="207" spans="1:13" x14ac:dyDescent="0.25">
      <c r="A207" s="25">
        <v>301</v>
      </c>
      <c r="B207" s="25">
        <v>301</v>
      </c>
      <c r="C207" s="24" t="str">
        <f t="shared" si="5"/>
        <v>A301</v>
      </c>
      <c r="D207" s="13" t="s">
        <v>723</v>
      </c>
      <c r="E207" s="13" t="s">
        <v>1289</v>
      </c>
      <c r="F207" s="13" t="s">
        <v>1951</v>
      </c>
      <c r="G207" s="13" t="s">
        <v>46</v>
      </c>
      <c r="H207" s="13" t="s">
        <v>8</v>
      </c>
      <c r="I207" s="13">
        <v>0</v>
      </c>
      <c r="J207" s="13" t="s">
        <v>27</v>
      </c>
      <c r="K207" s="13" t="s">
        <v>16</v>
      </c>
      <c r="L207" s="13"/>
      <c r="M207" s="18" t="s">
        <v>2246</v>
      </c>
    </row>
    <row r="208" spans="1:13" x14ac:dyDescent="0.25">
      <c r="A208" s="25">
        <v>302</v>
      </c>
      <c r="B208" s="25">
        <v>302</v>
      </c>
      <c r="C208" s="24" t="str">
        <f t="shared" si="5"/>
        <v>A302</v>
      </c>
      <c r="D208" s="13" t="s">
        <v>724</v>
      </c>
      <c r="E208" s="13" t="s">
        <v>1290</v>
      </c>
      <c r="F208" s="13" t="s">
        <v>725</v>
      </c>
      <c r="G208" s="13" t="s">
        <v>46</v>
      </c>
      <c r="H208" s="13" t="s">
        <v>8</v>
      </c>
      <c r="I208" s="13">
        <v>0</v>
      </c>
      <c r="J208" s="13" t="s">
        <v>27</v>
      </c>
      <c r="K208" s="13" t="s">
        <v>16</v>
      </c>
      <c r="L208" s="13"/>
      <c r="M208" s="18" t="s">
        <v>2246</v>
      </c>
    </row>
    <row r="209" spans="1:14" ht="21" x14ac:dyDescent="0.25">
      <c r="A209" s="25">
        <v>303</v>
      </c>
      <c r="B209" s="25">
        <v>303</v>
      </c>
      <c r="C209" s="24" t="str">
        <f t="shared" si="5"/>
        <v>A303</v>
      </c>
      <c r="D209" s="13" t="s">
        <v>726</v>
      </c>
      <c r="E209" s="13" t="s">
        <v>1952</v>
      </c>
      <c r="F209" s="13" t="s">
        <v>1953</v>
      </c>
      <c r="G209" s="13" t="s">
        <v>0</v>
      </c>
      <c r="H209" s="13" t="s">
        <v>13</v>
      </c>
      <c r="I209" s="13" t="s">
        <v>19</v>
      </c>
      <c r="J209" s="13" t="s">
        <v>20</v>
      </c>
      <c r="K209" s="13" t="s">
        <v>16</v>
      </c>
      <c r="L209" s="13" t="s">
        <v>2307</v>
      </c>
      <c r="M209" s="18" t="s">
        <v>2246</v>
      </c>
    </row>
    <row r="210" spans="1:14" ht="21" x14ac:dyDescent="0.25">
      <c r="A210" s="25">
        <v>304</v>
      </c>
      <c r="B210" s="25">
        <v>304</v>
      </c>
      <c r="C210" s="24" t="str">
        <f t="shared" si="5"/>
        <v>A304</v>
      </c>
      <c r="D210" s="13" t="s">
        <v>727</v>
      </c>
      <c r="E210" s="13" t="s">
        <v>1954</v>
      </c>
      <c r="F210" s="13" t="s">
        <v>1955</v>
      </c>
      <c r="G210" s="13" t="s">
        <v>0</v>
      </c>
      <c r="H210" s="13" t="s">
        <v>13</v>
      </c>
      <c r="I210" s="13" t="s">
        <v>19</v>
      </c>
      <c r="J210" s="13" t="s">
        <v>20</v>
      </c>
      <c r="K210" s="13" t="s">
        <v>16</v>
      </c>
      <c r="L210" s="13" t="s">
        <v>2307</v>
      </c>
      <c r="M210" s="18" t="s">
        <v>2246</v>
      </c>
    </row>
    <row r="211" spans="1:14" ht="31.5" x14ac:dyDescent="0.25">
      <c r="A211" s="25">
        <v>305</v>
      </c>
      <c r="B211" s="25">
        <v>305</v>
      </c>
      <c r="C211" s="24" t="str">
        <f t="shared" si="5"/>
        <v>A305</v>
      </c>
      <c r="D211" s="13" t="s">
        <v>728</v>
      </c>
      <c r="E211" s="13" t="s">
        <v>1956</v>
      </c>
      <c r="F211" s="13" t="s">
        <v>1957</v>
      </c>
      <c r="G211" s="13" t="s">
        <v>0</v>
      </c>
      <c r="H211" s="13" t="s">
        <v>13</v>
      </c>
      <c r="I211" s="13" t="s">
        <v>19</v>
      </c>
      <c r="J211" s="13" t="s">
        <v>20</v>
      </c>
      <c r="K211" s="13" t="s">
        <v>16</v>
      </c>
      <c r="L211" s="13" t="s">
        <v>2307</v>
      </c>
      <c r="M211" s="18" t="s">
        <v>2246</v>
      </c>
    </row>
    <row r="212" spans="1:14" ht="21" x14ac:dyDescent="0.25">
      <c r="A212" s="25">
        <v>306</v>
      </c>
      <c r="B212" s="25">
        <v>306</v>
      </c>
      <c r="C212" s="24" t="str">
        <f t="shared" si="5"/>
        <v>A306</v>
      </c>
      <c r="D212" s="13" t="s">
        <v>729</v>
      </c>
      <c r="E212" s="13" t="s">
        <v>1958</v>
      </c>
      <c r="F212" s="13" t="s">
        <v>1959</v>
      </c>
      <c r="G212" s="13" t="s">
        <v>730</v>
      </c>
      <c r="H212" s="13" t="s">
        <v>18</v>
      </c>
      <c r="I212" s="13" t="s">
        <v>14</v>
      </c>
      <c r="J212" s="13" t="s">
        <v>15</v>
      </c>
      <c r="K212" s="13" t="s">
        <v>16</v>
      </c>
      <c r="L212" s="13" t="s">
        <v>2311</v>
      </c>
      <c r="M212" s="18" t="s">
        <v>2246</v>
      </c>
    </row>
    <row r="213" spans="1:14" ht="21" x14ac:dyDescent="0.25">
      <c r="A213" s="25">
        <v>307</v>
      </c>
      <c r="B213" s="25">
        <v>307</v>
      </c>
      <c r="C213" s="24" t="str">
        <f t="shared" si="5"/>
        <v>A307</v>
      </c>
      <c r="D213" s="13" t="s">
        <v>731</v>
      </c>
      <c r="E213" s="13" t="s">
        <v>1960</v>
      </c>
      <c r="F213" s="13" t="s">
        <v>1961</v>
      </c>
      <c r="G213" s="13" t="s">
        <v>730</v>
      </c>
      <c r="H213" s="13" t="s">
        <v>18</v>
      </c>
      <c r="I213" s="13" t="s">
        <v>14</v>
      </c>
      <c r="J213" s="13" t="s">
        <v>15</v>
      </c>
      <c r="K213" s="13" t="s">
        <v>16</v>
      </c>
      <c r="L213" s="13" t="s">
        <v>2311</v>
      </c>
      <c r="M213" s="18" t="s">
        <v>2246</v>
      </c>
    </row>
    <row r="214" spans="1:14" ht="21" x14ac:dyDescent="0.25">
      <c r="A214" s="25">
        <v>308</v>
      </c>
      <c r="B214" s="25">
        <v>308</v>
      </c>
      <c r="C214" s="24" t="str">
        <f t="shared" si="5"/>
        <v>A308</v>
      </c>
      <c r="D214" s="13" t="s">
        <v>732</v>
      </c>
      <c r="E214" s="13" t="s">
        <v>1963</v>
      </c>
      <c r="F214" s="13" t="s">
        <v>1962</v>
      </c>
      <c r="G214" s="13" t="s">
        <v>730</v>
      </c>
      <c r="H214" s="13" t="s">
        <v>18</v>
      </c>
      <c r="I214" s="13" t="s">
        <v>14</v>
      </c>
      <c r="J214" s="13" t="s">
        <v>15</v>
      </c>
      <c r="K214" s="13" t="s">
        <v>16</v>
      </c>
      <c r="L214" s="13" t="s">
        <v>2311</v>
      </c>
      <c r="M214" s="18" t="s">
        <v>2246</v>
      </c>
    </row>
    <row r="215" spans="1:14" ht="21" x14ac:dyDescent="0.25">
      <c r="A215" s="25">
        <v>309</v>
      </c>
      <c r="B215" s="25">
        <v>309</v>
      </c>
      <c r="C215" s="24" t="str">
        <f t="shared" si="5"/>
        <v>A309</v>
      </c>
      <c r="D215" s="13" t="s">
        <v>733</v>
      </c>
      <c r="E215" s="13" t="s">
        <v>1291</v>
      </c>
      <c r="F215" s="13" t="s">
        <v>734</v>
      </c>
      <c r="G215" s="13" t="s">
        <v>0</v>
      </c>
      <c r="H215" s="13" t="s">
        <v>13</v>
      </c>
      <c r="I215" s="13" t="s">
        <v>19</v>
      </c>
      <c r="J215" s="13" t="s">
        <v>20</v>
      </c>
      <c r="K215" s="13" t="s">
        <v>16</v>
      </c>
      <c r="L215" s="13"/>
      <c r="M215" s="18" t="s">
        <v>2246</v>
      </c>
    </row>
    <row r="216" spans="1:14" ht="21" x14ac:dyDescent="0.25">
      <c r="A216" s="25">
        <v>310</v>
      </c>
      <c r="B216" s="25">
        <v>310</v>
      </c>
      <c r="C216" s="24" t="str">
        <f t="shared" si="5"/>
        <v>A310</v>
      </c>
      <c r="D216" s="13" t="s">
        <v>735</v>
      </c>
      <c r="E216" s="13" t="s">
        <v>1292</v>
      </c>
      <c r="F216" s="13" t="s">
        <v>736</v>
      </c>
      <c r="G216" s="13" t="s">
        <v>0</v>
      </c>
      <c r="H216" s="13" t="s">
        <v>18</v>
      </c>
      <c r="I216" s="13" t="s">
        <v>52</v>
      </c>
      <c r="J216" s="13" t="s">
        <v>20</v>
      </c>
      <c r="K216" s="13" t="s">
        <v>16</v>
      </c>
      <c r="L216" s="13"/>
      <c r="M216" s="18" t="s">
        <v>2246</v>
      </c>
    </row>
    <row r="217" spans="1:14" ht="31.5" x14ac:dyDescent="0.25">
      <c r="A217" s="25">
        <v>311</v>
      </c>
      <c r="B217" s="25">
        <v>311</v>
      </c>
      <c r="C217" s="24" t="str">
        <f t="shared" si="5"/>
        <v>A311</v>
      </c>
      <c r="D217" s="13" t="s">
        <v>737</v>
      </c>
      <c r="E217" s="13" t="s">
        <v>1964</v>
      </c>
      <c r="F217" s="13" t="s">
        <v>1967</v>
      </c>
      <c r="G217" s="13" t="s">
        <v>0</v>
      </c>
      <c r="H217" s="13" t="s">
        <v>13</v>
      </c>
      <c r="I217" s="13" t="s">
        <v>52</v>
      </c>
      <c r="J217" s="13" t="s">
        <v>20</v>
      </c>
      <c r="K217" s="13" t="s">
        <v>16</v>
      </c>
      <c r="L217" s="13" t="s">
        <v>2312</v>
      </c>
      <c r="M217" s="18" t="s">
        <v>2246</v>
      </c>
    </row>
    <row r="218" spans="1:14" ht="31.5" x14ac:dyDescent="0.25">
      <c r="A218" s="25">
        <v>312</v>
      </c>
      <c r="B218" s="25">
        <v>312</v>
      </c>
      <c r="C218" s="24" t="str">
        <f t="shared" si="5"/>
        <v>A312</v>
      </c>
      <c r="D218" s="13" t="s">
        <v>738</v>
      </c>
      <c r="E218" s="13" t="s">
        <v>1965</v>
      </c>
      <c r="F218" s="13" t="s">
        <v>1966</v>
      </c>
      <c r="G218" s="13" t="s">
        <v>0</v>
      </c>
      <c r="H218" s="13" t="s">
        <v>13</v>
      </c>
      <c r="I218" s="13" t="s">
        <v>52</v>
      </c>
      <c r="J218" s="13" t="s">
        <v>20</v>
      </c>
      <c r="K218" s="13" t="s">
        <v>16</v>
      </c>
      <c r="L218" s="13" t="s">
        <v>2312</v>
      </c>
      <c r="M218" s="18" t="s">
        <v>2246</v>
      </c>
    </row>
    <row r="219" spans="1:14" ht="21" x14ac:dyDescent="0.25">
      <c r="A219" s="25">
        <v>313</v>
      </c>
      <c r="B219" s="25">
        <v>313</v>
      </c>
      <c r="C219" s="24" t="str">
        <f t="shared" si="5"/>
        <v>A313</v>
      </c>
      <c r="D219" s="13" t="s">
        <v>739</v>
      </c>
      <c r="E219" s="13" t="s">
        <v>1293</v>
      </c>
      <c r="F219" s="13" t="s">
        <v>1401</v>
      </c>
      <c r="G219" s="13" t="s">
        <v>0</v>
      </c>
      <c r="H219" s="13" t="s">
        <v>18</v>
      </c>
      <c r="I219" s="13">
        <v>0</v>
      </c>
      <c r="J219" s="13" t="s">
        <v>15</v>
      </c>
      <c r="K219" s="13" t="s">
        <v>16</v>
      </c>
      <c r="L219" s="13"/>
      <c r="M219" s="18" t="s">
        <v>2248</v>
      </c>
    </row>
    <row r="220" spans="1:14" ht="21" x14ac:dyDescent="0.25">
      <c r="A220" s="25">
        <v>314</v>
      </c>
      <c r="B220" s="25">
        <v>314</v>
      </c>
      <c r="C220" s="24" t="str">
        <f t="shared" si="5"/>
        <v>A314</v>
      </c>
      <c r="D220" s="13" t="s">
        <v>740</v>
      </c>
      <c r="E220" s="13" t="s">
        <v>1968</v>
      </c>
      <c r="F220" s="13" t="s">
        <v>1971</v>
      </c>
      <c r="G220" s="13" t="s">
        <v>0</v>
      </c>
      <c r="H220" s="13" t="s">
        <v>13</v>
      </c>
      <c r="I220" s="13" t="s">
        <v>40</v>
      </c>
      <c r="J220" s="13" t="s">
        <v>10</v>
      </c>
      <c r="K220" s="13" t="s">
        <v>16</v>
      </c>
      <c r="L220" s="13"/>
      <c r="M220" s="18" t="s">
        <v>2248</v>
      </c>
    </row>
    <row r="221" spans="1:14" ht="21" x14ac:dyDescent="0.25">
      <c r="A221" s="25">
        <v>315</v>
      </c>
      <c r="B221" s="25">
        <v>315</v>
      </c>
      <c r="C221" s="24" t="str">
        <f t="shared" si="5"/>
        <v>A315</v>
      </c>
      <c r="D221" s="13" t="s">
        <v>741</v>
      </c>
      <c r="E221" s="13" t="s">
        <v>1969</v>
      </c>
      <c r="F221" s="13" t="s">
        <v>1970</v>
      </c>
      <c r="G221" s="13" t="s">
        <v>0</v>
      </c>
      <c r="H221" s="13" t="s">
        <v>13</v>
      </c>
      <c r="I221" s="13" t="s">
        <v>40</v>
      </c>
      <c r="J221" s="13" t="s">
        <v>10</v>
      </c>
      <c r="K221" s="13" t="s">
        <v>16</v>
      </c>
      <c r="L221" s="13"/>
      <c r="M221" s="18" t="s">
        <v>2248</v>
      </c>
    </row>
    <row r="222" spans="1:14" x14ac:dyDescent="0.25">
      <c r="A222" s="25">
        <v>316</v>
      </c>
      <c r="B222" s="25">
        <v>316</v>
      </c>
      <c r="C222" s="24" t="str">
        <f t="shared" si="5"/>
        <v>A316</v>
      </c>
      <c r="D222" s="13" t="s">
        <v>742</v>
      </c>
      <c r="E222" s="13" t="s">
        <v>2067</v>
      </c>
      <c r="F222" s="13" t="s">
        <v>2097</v>
      </c>
      <c r="G222" s="13" t="s">
        <v>0</v>
      </c>
      <c r="H222" s="13" t="s">
        <v>743</v>
      </c>
      <c r="I222" s="13" t="s">
        <v>49</v>
      </c>
      <c r="J222" s="13" t="s">
        <v>50</v>
      </c>
      <c r="K222" s="13" t="s">
        <v>16</v>
      </c>
      <c r="L222" s="13"/>
      <c r="M222" s="18" t="s">
        <v>2248</v>
      </c>
      <c r="N222" s="22"/>
    </row>
    <row r="223" spans="1:14" ht="21" x14ac:dyDescent="0.25">
      <c r="A223" s="25">
        <v>317</v>
      </c>
      <c r="B223" s="25">
        <v>317</v>
      </c>
      <c r="C223" s="24" t="str">
        <f t="shared" si="5"/>
        <v>A317</v>
      </c>
      <c r="D223" s="13" t="s">
        <v>744</v>
      </c>
      <c r="E223" s="13" t="s">
        <v>2068</v>
      </c>
      <c r="F223" s="13" t="s">
        <v>2096</v>
      </c>
      <c r="G223" s="13" t="s">
        <v>0</v>
      </c>
      <c r="H223" s="13" t="s">
        <v>746</v>
      </c>
      <c r="I223" s="13" t="s">
        <v>49</v>
      </c>
      <c r="J223" s="13" t="s">
        <v>50</v>
      </c>
      <c r="K223" s="13" t="s">
        <v>16</v>
      </c>
      <c r="L223" s="13"/>
      <c r="M223" s="18" t="s">
        <v>2248</v>
      </c>
    </row>
    <row r="224" spans="1:14" ht="21" x14ac:dyDescent="0.25">
      <c r="A224" s="25">
        <v>318</v>
      </c>
      <c r="B224" s="25">
        <v>318</v>
      </c>
      <c r="C224" s="24" t="str">
        <f t="shared" si="5"/>
        <v>A318</v>
      </c>
      <c r="D224" s="13" t="s">
        <v>747</v>
      </c>
      <c r="E224" s="13" t="s">
        <v>2062</v>
      </c>
      <c r="F224" s="13" t="s">
        <v>2095</v>
      </c>
      <c r="G224" s="13" t="s">
        <v>0</v>
      </c>
      <c r="H224" s="13" t="s">
        <v>48</v>
      </c>
      <c r="I224" s="13" t="s">
        <v>648</v>
      </c>
      <c r="J224" s="13" t="s">
        <v>10</v>
      </c>
      <c r="K224" s="13" t="s">
        <v>16</v>
      </c>
      <c r="L224" s="13"/>
      <c r="M224" s="18" t="s">
        <v>2248</v>
      </c>
    </row>
    <row r="225" spans="1:13" ht="21" x14ac:dyDescent="0.25">
      <c r="A225" s="25">
        <v>319</v>
      </c>
      <c r="B225" s="25">
        <v>319</v>
      </c>
      <c r="C225" s="24" t="str">
        <f t="shared" si="5"/>
        <v>A319</v>
      </c>
      <c r="D225" s="13" t="s">
        <v>748</v>
      </c>
      <c r="E225" s="13" t="s">
        <v>2063</v>
      </c>
      <c r="F225" s="13" t="s">
        <v>2094</v>
      </c>
      <c r="G225" s="13" t="s">
        <v>0</v>
      </c>
      <c r="H225" s="13" t="s">
        <v>48</v>
      </c>
      <c r="I225" s="13" t="s">
        <v>9</v>
      </c>
      <c r="J225" s="13" t="s">
        <v>649</v>
      </c>
      <c r="K225" s="13" t="s">
        <v>16</v>
      </c>
      <c r="L225" s="13"/>
      <c r="M225" s="18" t="s">
        <v>2248</v>
      </c>
    </row>
    <row r="226" spans="1:13" x14ac:dyDescent="0.25">
      <c r="A226" s="25">
        <v>320</v>
      </c>
      <c r="B226" s="25">
        <v>320</v>
      </c>
      <c r="C226" s="24" t="str">
        <f t="shared" si="5"/>
        <v>A320</v>
      </c>
      <c r="D226" s="13" t="s">
        <v>749</v>
      </c>
      <c r="E226" s="13" t="s">
        <v>2069</v>
      </c>
      <c r="F226" s="13" t="s">
        <v>2073</v>
      </c>
      <c r="G226" s="13" t="s">
        <v>0</v>
      </c>
      <c r="H226" s="13" t="s">
        <v>743</v>
      </c>
      <c r="I226" s="13" t="s">
        <v>49</v>
      </c>
      <c r="J226" s="13" t="s">
        <v>50</v>
      </c>
      <c r="K226" s="13" t="s">
        <v>16</v>
      </c>
      <c r="L226" s="13"/>
      <c r="M226" s="18" t="s">
        <v>2248</v>
      </c>
    </row>
    <row r="227" spans="1:13" ht="21" x14ac:dyDescent="0.25">
      <c r="A227" s="25">
        <v>321</v>
      </c>
      <c r="B227" s="25">
        <v>321</v>
      </c>
      <c r="C227" s="24" t="str">
        <f t="shared" si="5"/>
        <v>A321</v>
      </c>
      <c r="D227" s="13" t="s">
        <v>750</v>
      </c>
      <c r="E227" s="13" t="s">
        <v>2070</v>
      </c>
      <c r="F227" s="13" t="s">
        <v>2074</v>
      </c>
      <c r="G227" s="13" t="s">
        <v>0</v>
      </c>
      <c r="H227" s="13" t="s">
        <v>743</v>
      </c>
      <c r="I227" s="13" t="s">
        <v>49</v>
      </c>
      <c r="J227" s="13" t="s">
        <v>50</v>
      </c>
      <c r="K227" s="13" t="s">
        <v>16</v>
      </c>
      <c r="L227" s="13"/>
      <c r="M227" s="18" t="s">
        <v>2248</v>
      </c>
    </row>
    <row r="228" spans="1:13" ht="21" x14ac:dyDescent="0.25">
      <c r="A228" s="25">
        <v>322</v>
      </c>
      <c r="B228" s="25">
        <v>322</v>
      </c>
      <c r="C228" s="24" t="str">
        <f t="shared" si="5"/>
        <v>A322</v>
      </c>
      <c r="D228" s="13" t="s">
        <v>751</v>
      </c>
      <c r="E228" s="13" t="s">
        <v>2064</v>
      </c>
      <c r="F228" s="13" t="s">
        <v>2075</v>
      </c>
      <c r="G228" s="13" t="s">
        <v>0</v>
      </c>
      <c r="H228" s="13" t="s">
        <v>48</v>
      </c>
      <c r="I228" s="13" t="s">
        <v>648</v>
      </c>
      <c r="J228" s="13" t="s">
        <v>649</v>
      </c>
      <c r="K228" s="13" t="s">
        <v>16</v>
      </c>
      <c r="L228" s="13"/>
      <c r="M228" s="18" t="s">
        <v>2248</v>
      </c>
    </row>
    <row r="229" spans="1:13" ht="21" x14ac:dyDescent="0.25">
      <c r="A229" s="25">
        <v>323</v>
      </c>
      <c r="B229" s="25">
        <v>323</v>
      </c>
      <c r="C229" s="24" t="str">
        <f t="shared" si="5"/>
        <v>A323</v>
      </c>
      <c r="D229" s="13" t="s">
        <v>752</v>
      </c>
      <c r="E229" s="13" t="s">
        <v>2065</v>
      </c>
      <c r="F229" s="13" t="s">
        <v>2076</v>
      </c>
      <c r="G229" s="13" t="s">
        <v>0</v>
      </c>
      <c r="H229" s="13" t="s">
        <v>48</v>
      </c>
      <c r="I229" s="13">
        <v>0</v>
      </c>
      <c r="J229" s="13" t="s">
        <v>753</v>
      </c>
      <c r="K229" s="13" t="s">
        <v>16</v>
      </c>
      <c r="L229" s="13"/>
      <c r="M229" s="18" t="s">
        <v>2248</v>
      </c>
    </row>
    <row r="230" spans="1:13" ht="21" x14ac:dyDescent="0.25">
      <c r="A230" s="25">
        <v>340</v>
      </c>
      <c r="B230" s="25">
        <v>340</v>
      </c>
      <c r="C230" s="24" t="str">
        <f t="shared" ref="C230:C253" si="7">"A"&amp;B230</f>
        <v>A340</v>
      </c>
      <c r="D230" s="13" t="s">
        <v>754</v>
      </c>
      <c r="E230" s="13" t="s">
        <v>2066</v>
      </c>
      <c r="F230" s="13" t="s">
        <v>2077</v>
      </c>
      <c r="G230" s="13" t="s">
        <v>0</v>
      </c>
      <c r="H230" s="13" t="s">
        <v>13</v>
      </c>
      <c r="I230" s="13">
        <v>0</v>
      </c>
      <c r="J230" s="13" t="s">
        <v>753</v>
      </c>
      <c r="K230" s="13" t="s">
        <v>16</v>
      </c>
      <c r="L230" s="13"/>
      <c r="M230" s="18" t="s">
        <v>2248</v>
      </c>
    </row>
    <row r="231" spans="1:13" x14ac:dyDescent="0.25">
      <c r="A231" s="25">
        <v>341</v>
      </c>
      <c r="B231" s="25">
        <v>341</v>
      </c>
      <c r="C231" s="24" t="str">
        <f t="shared" si="7"/>
        <v>A341</v>
      </c>
      <c r="D231" s="13" t="s">
        <v>755</v>
      </c>
      <c r="E231" s="13" t="s">
        <v>2071</v>
      </c>
      <c r="F231" s="13" t="s">
        <v>2072</v>
      </c>
      <c r="G231" s="13" t="s">
        <v>0</v>
      </c>
      <c r="H231" s="13" t="s">
        <v>756</v>
      </c>
      <c r="I231" s="13">
        <v>0</v>
      </c>
      <c r="J231" s="13" t="s">
        <v>753</v>
      </c>
      <c r="K231" s="13" t="s">
        <v>16</v>
      </c>
      <c r="L231" s="13"/>
      <c r="M231" s="18" t="s">
        <v>2248</v>
      </c>
    </row>
    <row r="232" spans="1:13" x14ac:dyDescent="0.25">
      <c r="A232" s="25">
        <v>342</v>
      </c>
      <c r="B232" s="25">
        <v>342</v>
      </c>
      <c r="C232" s="24" t="str">
        <f t="shared" si="7"/>
        <v>A342</v>
      </c>
      <c r="D232" s="13" t="s">
        <v>757</v>
      </c>
      <c r="E232" s="13" t="s">
        <v>2078</v>
      </c>
      <c r="F232" s="13" t="s">
        <v>2086</v>
      </c>
      <c r="G232" s="13" t="s">
        <v>0</v>
      </c>
      <c r="H232" s="13" t="s">
        <v>13</v>
      </c>
      <c r="I232" s="13">
        <v>0</v>
      </c>
      <c r="J232" s="13" t="s">
        <v>753</v>
      </c>
      <c r="K232" s="13" t="s">
        <v>16</v>
      </c>
      <c r="L232" s="13"/>
      <c r="M232" s="18" t="s">
        <v>2248</v>
      </c>
    </row>
    <row r="233" spans="1:13" x14ac:dyDescent="0.25">
      <c r="A233" s="25">
        <v>343</v>
      </c>
      <c r="B233" s="25">
        <v>343</v>
      </c>
      <c r="C233" s="24" t="str">
        <f t="shared" si="7"/>
        <v>A343</v>
      </c>
      <c r="D233" s="13" t="s">
        <v>758</v>
      </c>
      <c r="E233" s="13" t="s">
        <v>2079</v>
      </c>
      <c r="F233" s="13" t="s">
        <v>2087</v>
      </c>
      <c r="G233" s="13" t="s">
        <v>0</v>
      </c>
      <c r="H233" s="13" t="s">
        <v>756</v>
      </c>
      <c r="I233" s="13">
        <v>0</v>
      </c>
      <c r="J233" s="13" t="s">
        <v>753</v>
      </c>
      <c r="K233" s="13" t="s">
        <v>16</v>
      </c>
      <c r="L233" s="13"/>
      <c r="M233" s="18" t="s">
        <v>2248</v>
      </c>
    </row>
    <row r="234" spans="1:13" ht="21" x14ac:dyDescent="0.25">
      <c r="A234" s="25">
        <v>344</v>
      </c>
      <c r="B234" s="25">
        <v>344</v>
      </c>
      <c r="C234" s="24" t="str">
        <f t="shared" si="7"/>
        <v>A344</v>
      </c>
      <c r="D234" s="13" t="s">
        <v>759</v>
      </c>
      <c r="E234" s="13" t="s">
        <v>2082</v>
      </c>
      <c r="F234" s="13" t="s">
        <v>2091</v>
      </c>
      <c r="G234" s="13" t="s">
        <v>0</v>
      </c>
      <c r="H234" s="13" t="s">
        <v>756</v>
      </c>
      <c r="I234" s="13">
        <v>0</v>
      </c>
      <c r="J234" s="13" t="s">
        <v>753</v>
      </c>
      <c r="K234" s="13" t="s">
        <v>16</v>
      </c>
      <c r="L234" s="13"/>
      <c r="M234" s="18" t="s">
        <v>2248</v>
      </c>
    </row>
    <row r="235" spans="1:13" ht="21" x14ac:dyDescent="0.25">
      <c r="A235" s="25">
        <v>345</v>
      </c>
      <c r="B235" s="25">
        <v>345</v>
      </c>
      <c r="C235" s="24" t="str">
        <f t="shared" si="7"/>
        <v>A345</v>
      </c>
      <c r="D235" s="13" t="s">
        <v>760</v>
      </c>
      <c r="E235" s="13" t="s">
        <v>2080</v>
      </c>
      <c r="F235" s="13" t="s">
        <v>2092</v>
      </c>
      <c r="G235" s="13" t="s">
        <v>0</v>
      </c>
      <c r="H235" s="13" t="s">
        <v>756</v>
      </c>
      <c r="I235" s="13">
        <v>0</v>
      </c>
      <c r="J235" s="13" t="s">
        <v>753</v>
      </c>
      <c r="K235" s="13" t="s">
        <v>16</v>
      </c>
      <c r="L235" s="13"/>
      <c r="M235" s="18" t="s">
        <v>2248</v>
      </c>
    </row>
    <row r="236" spans="1:13" ht="21" x14ac:dyDescent="0.25">
      <c r="A236" s="25">
        <v>346</v>
      </c>
      <c r="B236" s="25">
        <v>346</v>
      </c>
      <c r="C236" s="24" t="str">
        <f t="shared" si="7"/>
        <v>A346</v>
      </c>
      <c r="D236" s="13" t="s">
        <v>761</v>
      </c>
      <c r="E236" s="13" t="s">
        <v>2081</v>
      </c>
      <c r="F236" s="13" t="s">
        <v>2093</v>
      </c>
      <c r="G236" s="13" t="s">
        <v>0</v>
      </c>
      <c r="H236" s="13" t="s">
        <v>756</v>
      </c>
      <c r="I236" s="13">
        <v>0</v>
      </c>
      <c r="J236" s="13" t="s">
        <v>753</v>
      </c>
      <c r="K236" s="13" t="s">
        <v>16</v>
      </c>
      <c r="L236" s="13"/>
      <c r="M236" s="18" t="s">
        <v>2248</v>
      </c>
    </row>
    <row r="237" spans="1:13" ht="21" x14ac:dyDescent="0.25">
      <c r="A237" s="25">
        <v>347</v>
      </c>
      <c r="B237" s="25">
        <v>347</v>
      </c>
      <c r="C237" s="24" t="str">
        <f t="shared" si="7"/>
        <v>A347</v>
      </c>
      <c r="D237" s="13" t="s">
        <v>762</v>
      </c>
      <c r="E237" s="13" t="s">
        <v>2083</v>
      </c>
      <c r="F237" s="13" t="s">
        <v>2089</v>
      </c>
      <c r="G237" s="13" t="s">
        <v>0</v>
      </c>
      <c r="H237" s="13" t="s">
        <v>756</v>
      </c>
      <c r="I237" s="13">
        <v>0</v>
      </c>
      <c r="J237" s="13" t="s">
        <v>753</v>
      </c>
      <c r="K237" s="13" t="s">
        <v>16</v>
      </c>
      <c r="L237" s="13"/>
      <c r="M237" s="18" t="s">
        <v>2248</v>
      </c>
    </row>
    <row r="238" spans="1:13" ht="21" x14ac:dyDescent="0.25">
      <c r="A238" s="25">
        <v>348</v>
      </c>
      <c r="B238" s="25">
        <v>348</v>
      </c>
      <c r="C238" s="24" t="str">
        <f t="shared" si="7"/>
        <v>A348</v>
      </c>
      <c r="D238" s="13" t="s">
        <v>763</v>
      </c>
      <c r="E238" s="13" t="s">
        <v>2084</v>
      </c>
      <c r="F238" s="13" t="s">
        <v>2088</v>
      </c>
      <c r="G238" s="13" t="s">
        <v>0</v>
      </c>
      <c r="H238" s="13" t="s">
        <v>756</v>
      </c>
      <c r="I238" s="13">
        <v>0</v>
      </c>
      <c r="J238" s="13" t="s">
        <v>753</v>
      </c>
      <c r="K238" s="13" t="s">
        <v>16</v>
      </c>
      <c r="L238" s="13"/>
      <c r="M238" s="18" t="s">
        <v>2248</v>
      </c>
    </row>
    <row r="239" spans="1:13" ht="21" x14ac:dyDescent="0.25">
      <c r="A239" s="25">
        <v>349</v>
      </c>
      <c r="B239" s="25">
        <v>349</v>
      </c>
      <c r="C239" s="24" t="str">
        <f t="shared" si="7"/>
        <v>A349</v>
      </c>
      <c r="D239" s="13" t="s">
        <v>764</v>
      </c>
      <c r="E239" s="13" t="s">
        <v>2085</v>
      </c>
      <c r="F239" s="13" t="s">
        <v>2090</v>
      </c>
      <c r="G239" s="13" t="s">
        <v>0</v>
      </c>
      <c r="H239" s="13" t="s">
        <v>756</v>
      </c>
      <c r="I239" s="13">
        <v>0</v>
      </c>
      <c r="J239" s="13" t="s">
        <v>753</v>
      </c>
      <c r="K239" s="13" t="s">
        <v>16</v>
      </c>
      <c r="L239" s="13"/>
      <c r="M239" s="18" t="s">
        <v>2248</v>
      </c>
    </row>
    <row r="240" spans="1:13" ht="21" x14ac:dyDescent="0.25">
      <c r="A240" s="25">
        <v>350</v>
      </c>
      <c r="B240" s="25">
        <v>350</v>
      </c>
      <c r="C240" s="24" t="str">
        <f t="shared" si="7"/>
        <v>A350</v>
      </c>
      <c r="D240" s="13" t="s">
        <v>765</v>
      </c>
      <c r="E240" s="13" t="s">
        <v>2098</v>
      </c>
      <c r="F240" s="13" t="s">
        <v>2101</v>
      </c>
      <c r="G240" s="13" t="s">
        <v>0</v>
      </c>
      <c r="H240" s="13" t="s">
        <v>48</v>
      </c>
      <c r="I240" s="13" t="s">
        <v>648</v>
      </c>
      <c r="J240" s="13" t="s">
        <v>649</v>
      </c>
      <c r="K240" s="13" t="s">
        <v>16</v>
      </c>
      <c r="L240" s="13"/>
      <c r="M240" s="18" t="s">
        <v>2248</v>
      </c>
    </row>
    <row r="241" spans="1:13" ht="21" x14ac:dyDescent="0.25">
      <c r="A241" s="25">
        <v>351</v>
      </c>
      <c r="B241" s="25">
        <v>351</v>
      </c>
      <c r="C241" s="24" t="str">
        <f t="shared" si="7"/>
        <v>A351</v>
      </c>
      <c r="D241" s="13" t="s">
        <v>766</v>
      </c>
      <c r="E241" s="13" t="s">
        <v>2099</v>
      </c>
      <c r="F241" s="13" t="s">
        <v>2100</v>
      </c>
      <c r="G241" s="13" t="s">
        <v>0</v>
      </c>
      <c r="H241" s="13" t="s">
        <v>756</v>
      </c>
      <c r="I241" s="13">
        <v>0</v>
      </c>
      <c r="J241" s="13" t="s">
        <v>753</v>
      </c>
      <c r="K241" s="13" t="s">
        <v>16</v>
      </c>
      <c r="L241" s="13"/>
      <c r="M241" s="18" t="s">
        <v>2248</v>
      </c>
    </row>
    <row r="242" spans="1:13" ht="21" x14ac:dyDescent="0.25">
      <c r="A242" s="25">
        <v>368</v>
      </c>
      <c r="B242" s="25">
        <v>368</v>
      </c>
      <c r="C242" s="24" t="str">
        <f t="shared" si="7"/>
        <v>A368</v>
      </c>
      <c r="D242" s="13" t="s">
        <v>767</v>
      </c>
      <c r="E242" s="13" t="s">
        <v>1994</v>
      </c>
      <c r="F242" s="13" t="s">
        <v>1972</v>
      </c>
      <c r="G242" s="13" t="s">
        <v>0</v>
      </c>
      <c r="H242" s="13" t="s">
        <v>13</v>
      </c>
      <c r="I242" s="13" t="s">
        <v>745</v>
      </c>
      <c r="J242" s="13" t="s">
        <v>15</v>
      </c>
      <c r="K242" s="13" t="s">
        <v>16</v>
      </c>
      <c r="L242" s="13"/>
      <c r="M242" s="18" t="s">
        <v>2248</v>
      </c>
    </row>
    <row r="243" spans="1:13" ht="21" x14ac:dyDescent="0.25">
      <c r="A243" s="25">
        <v>369</v>
      </c>
      <c r="B243" s="25">
        <v>369</v>
      </c>
      <c r="C243" s="24" t="str">
        <f t="shared" si="7"/>
        <v>A369</v>
      </c>
      <c r="D243" s="13" t="s">
        <v>768</v>
      </c>
      <c r="E243" s="13" t="s">
        <v>1990</v>
      </c>
      <c r="F243" s="13" t="s">
        <v>1973</v>
      </c>
      <c r="G243" s="13" t="s">
        <v>0</v>
      </c>
      <c r="H243" s="13" t="s">
        <v>13</v>
      </c>
      <c r="I243" s="13">
        <v>0</v>
      </c>
      <c r="J243" s="13" t="s">
        <v>15</v>
      </c>
      <c r="K243" s="13" t="s">
        <v>16</v>
      </c>
      <c r="L243" s="13"/>
      <c r="M243" s="18" t="s">
        <v>2248</v>
      </c>
    </row>
    <row r="244" spans="1:13" ht="21" x14ac:dyDescent="0.25">
      <c r="A244" s="25">
        <v>370</v>
      </c>
      <c r="B244" s="25">
        <v>370</v>
      </c>
      <c r="C244" s="24" t="str">
        <f t="shared" si="7"/>
        <v>A370</v>
      </c>
      <c r="D244" s="13" t="s">
        <v>769</v>
      </c>
      <c r="E244" s="13" t="s">
        <v>1993</v>
      </c>
      <c r="F244" s="13" t="s">
        <v>1974</v>
      </c>
      <c r="G244" s="13" t="s">
        <v>0</v>
      </c>
      <c r="H244" s="13" t="s">
        <v>13</v>
      </c>
      <c r="I244" s="13" t="s">
        <v>770</v>
      </c>
      <c r="J244" s="13" t="s">
        <v>15</v>
      </c>
      <c r="K244" s="13" t="s">
        <v>16</v>
      </c>
      <c r="L244" s="13"/>
      <c r="M244" s="18" t="s">
        <v>2248</v>
      </c>
    </row>
    <row r="245" spans="1:13" ht="21" x14ac:dyDescent="0.25">
      <c r="A245" s="25">
        <v>371</v>
      </c>
      <c r="B245" s="25">
        <v>371</v>
      </c>
      <c r="C245" s="24" t="str">
        <f t="shared" si="7"/>
        <v>A371</v>
      </c>
      <c r="D245" s="13" t="s">
        <v>771</v>
      </c>
      <c r="E245" s="13" t="s">
        <v>1992</v>
      </c>
      <c r="F245" s="13" t="s">
        <v>1975</v>
      </c>
      <c r="G245" s="13" t="s">
        <v>0</v>
      </c>
      <c r="H245" s="13" t="s">
        <v>13</v>
      </c>
      <c r="I245" s="13">
        <v>0</v>
      </c>
      <c r="J245" s="13" t="s">
        <v>20</v>
      </c>
      <c r="K245" s="13" t="s">
        <v>16</v>
      </c>
      <c r="L245" s="13"/>
      <c r="M245" s="18" t="s">
        <v>2248</v>
      </c>
    </row>
    <row r="246" spans="1:13" ht="21" x14ac:dyDescent="0.25">
      <c r="A246" s="25">
        <v>372</v>
      </c>
      <c r="B246" s="25">
        <v>372</v>
      </c>
      <c r="C246" s="24" t="str">
        <f t="shared" si="7"/>
        <v>A372</v>
      </c>
      <c r="D246" s="13" t="s">
        <v>772</v>
      </c>
      <c r="E246" s="13" t="s">
        <v>1991</v>
      </c>
      <c r="F246" s="13" t="s">
        <v>1976</v>
      </c>
      <c r="G246" s="13" t="s">
        <v>0</v>
      </c>
      <c r="H246" s="13" t="s">
        <v>13</v>
      </c>
      <c r="I246" s="13" t="s">
        <v>745</v>
      </c>
      <c r="J246" s="13" t="s">
        <v>15</v>
      </c>
      <c r="K246" s="13" t="s">
        <v>16</v>
      </c>
      <c r="L246" s="13"/>
      <c r="M246" s="18" t="s">
        <v>2248</v>
      </c>
    </row>
    <row r="247" spans="1:13" ht="21" x14ac:dyDescent="0.25">
      <c r="A247" s="25">
        <v>373</v>
      </c>
      <c r="B247" s="25">
        <v>373</v>
      </c>
      <c r="C247" s="24" t="str">
        <f t="shared" si="7"/>
        <v>A373</v>
      </c>
      <c r="D247" s="13" t="s">
        <v>773</v>
      </c>
      <c r="E247" s="13" t="s">
        <v>1990</v>
      </c>
      <c r="F247" s="13" t="s">
        <v>1983</v>
      </c>
      <c r="G247" s="13" t="s">
        <v>0</v>
      </c>
      <c r="H247" s="13" t="s">
        <v>13</v>
      </c>
      <c r="I247" s="13">
        <v>0</v>
      </c>
      <c r="J247" s="13" t="s">
        <v>15</v>
      </c>
      <c r="K247" s="13" t="s">
        <v>16</v>
      </c>
      <c r="L247" s="13"/>
      <c r="M247" s="18" t="s">
        <v>2248</v>
      </c>
    </row>
    <row r="248" spans="1:13" ht="21" x14ac:dyDescent="0.25">
      <c r="A248" s="25">
        <v>374</v>
      </c>
      <c r="B248" s="25">
        <v>374</v>
      </c>
      <c r="C248" s="24" t="str">
        <f t="shared" si="7"/>
        <v>A374</v>
      </c>
      <c r="D248" s="13" t="s">
        <v>774</v>
      </c>
      <c r="E248" s="13" t="s">
        <v>1989</v>
      </c>
      <c r="F248" s="13" t="s">
        <v>1982</v>
      </c>
      <c r="G248" s="13" t="s">
        <v>0</v>
      </c>
      <c r="H248" s="13" t="s">
        <v>13</v>
      </c>
      <c r="I248" s="13" t="s">
        <v>770</v>
      </c>
      <c r="J248" s="13" t="s">
        <v>15</v>
      </c>
      <c r="K248" s="13" t="s">
        <v>16</v>
      </c>
      <c r="L248" s="13"/>
      <c r="M248" s="18" t="s">
        <v>2248</v>
      </c>
    </row>
    <row r="249" spans="1:13" ht="21" x14ac:dyDescent="0.25">
      <c r="A249" s="25">
        <v>375</v>
      </c>
      <c r="B249" s="25">
        <v>375</v>
      </c>
      <c r="C249" s="24" t="str">
        <f t="shared" si="7"/>
        <v>A375</v>
      </c>
      <c r="D249" s="13" t="s">
        <v>775</v>
      </c>
      <c r="E249" s="13" t="s">
        <v>1988</v>
      </c>
      <c r="F249" s="13" t="s">
        <v>1977</v>
      </c>
      <c r="G249" s="13" t="s">
        <v>0</v>
      </c>
      <c r="H249" s="13" t="s">
        <v>13</v>
      </c>
      <c r="I249" s="13">
        <v>0</v>
      </c>
      <c r="J249" s="13" t="s">
        <v>20</v>
      </c>
      <c r="K249" s="13" t="s">
        <v>16</v>
      </c>
      <c r="L249" s="13"/>
      <c r="M249" s="18" t="s">
        <v>2248</v>
      </c>
    </row>
    <row r="250" spans="1:13" ht="21" x14ac:dyDescent="0.25">
      <c r="A250" s="25">
        <v>376</v>
      </c>
      <c r="B250" s="25">
        <v>376</v>
      </c>
      <c r="C250" s="24" t="str">
        <f t="shared" si="7"/>
        <v>A376</v>
      </c>
      <c r="D250" s="13" t="s">
        <v>776</v>
      </c>
      <c r="E250" s="13" t="s">
        <v>1984</v>
      </c>
      <c r="F250" s="13" t="s">
        <v>1978</v>
      </c>
      <c r="G250" s="13" t="s">
        <v>0</v>
      </c>
      <c r="H250" s="13" t="s">
        <v>13</v>
      </c>
      <c r="I250" s="13" t="s">
        <v>745</v>
      </c>
      <c r="J250" s="13" t="s">
        <v>15</v>
      </c>
      <c r="K250" s="13" t="s">
        <v>16</v>
      </c>
      <c r="L250" s="13"/>
      <c r="M250" s="18" t="s">
        <v>2248</v>
      </c>
    </row>
    <row r="251" spans="1:13" ht="21" x14ac:dyDescent="0.25">
      <c r="A251" s="25">
        <v>377</v>
      </c>
      <c r="B251" s="25">
        <v>377</v>
      </c>
      <c r="C251" s="24" t="str">
        <f t="shared" si="7"/>
        <v>A377</v>
      </c>
      <c r="D251" s="13" t="s">
        <v>777</v>
      </c>
      <c r="E251" s="13" t="s">
        <v>1985</v>
      </c>
      <c r="F251" s="13" t="s">
        <v>1979</v>
      </c>
      <c r="G251" s="13" t="s">
        <v>0</v>
      </c>
      <c r="H251" s="13" t="s">
        <v>13</v>
      </c>
      <c r="I251" s="13">
        <v>0</v>
      </c>
      <c r="J251" s="13" t="s">
        <v>15</v>
      </c>
      <c r="K251" s="13" t="s">
        <v>16</v>
      </c>
      <c r="L251" s="13"/>
      <c r="M251" s="18" t="s">
        <v>2248</v>
      </c>
    </row>
    <row r="252" spans="1:13" ht="21" x14ac:dyDescent="0.25">
      <c r="A252" s="25">
        <v>378</v>
      </c>
      <c r="B252" s="25">
        <v>378</v>
      </c>
      <c r="C252" s="24" t="str">
        <f t="shared" si="7"/>
        <v>A378</v>
      </c>
      <c r="D252" s="13" t="s">
        <v>778</v>
      </c>
      <c r="E252" s="13" t="s">
        <v>1986</v>
      </c>
      <c r="F252" s="13" t="s">
        <v>1980</v>
      </c>
      <c r="G252" s="13" t="s">
        <v>0</v>
      </c>
      <c r="H252" s="13" t="s">
        <v>13</v>
      </c>
      <c r="I252" s="13" t="s">
        <v>770</v>
      </c>
      <c r="J252" s="13" t="s">
        <v>15</v>
      </c>
      <c r="K252" s="13" t="s">
        <v>16</v>
      </c>
      <c r="L252" s="13"/>
      <c r="M252" s="18" t="s">
        <v>2248</v>
      </c>
    </row>
    <row r="253" spans="1:13" ht="21" x14ac:dyDescent="0.25">
      <c r="A253" s="25">
        <v>379</v>
      </c>
      <c r="B253" s="25">
        <v>379</v>
      </c>
      <c r="C253" s="24" t="str">
        <f t="shared" si="7"/>
        <v>A379</v>
      </c>
      <c r="D253" s="13" t="s">
        <v>779</v>
      </c>
      <c r="E253" s="13" t="s">
        <v>1987</v>
      </c>
      <c r="F253" s="13" t="s">
        <v>1981</v>
      </c>
      <c r="G253" s="13" t="s">
        <v>0</v>
      </c>
      <c r="H253" s="13" t="s">
        <v>13</v>
      </c>
      <c r="I253" s="13">
        <v>0</v>
      </c>
      <c r="J253" s="13" t="s">
        <v>20</v>
      </c>
      <c r="K253" s="13" t="s">
        <v>16</v>
      </c>
      <c r="L253" s="13"/>
      <c r="M253" s="18" t="s">
        <v>2248</v>
      </c>
    </row>
    <row r="254" spans="1:13" ht="21" x14ac:dyDescent="0.25">
      <c r="A254" s="25">
        <v>391</v>
      </c>
      <c r="B254" s="25">
        <v>391</v>
      </c>
      <c r="C254" s="24" t="str">
        <f t="shared" ref="C254:C275" si="8">"A"&amp;B254</f>
        <v>A391</v>
      </c>
      <c r="D254" s="13" t="s">
        <v>781</v>
      </c>
      <c r="E254" s="13" t="s">
        <v>782</v>
      </c>
      <c r="F254" s="13" t="s">
        <v>1402</v>
      </c>
      <c r="G254" s="13" t="s">
        <v>783</v>
      </c>
      <c r="H254" s="13" t="s">
        <v>18</v>
      </c>
      <c r="I254" s="13" t="s">
        <v>14</v>
      </c>
      <c r="J254" s="13" t="s">
        <v>15</v>
      </c>
      <c r="K254" s="13" t="s">
        <v>11</v>
      </c>
      <c r="L254" s="13"/>
      <c r="M254" s="18" t="s">
        <v>2246</v>
      </c>
    </row>
    <row r="255" spans="1:13" ht="21" x14ac:dyDescent="0.25">
      <c r="A255" s="25">
        <v>392</v>
      </c>
      <c r="B255" s="25">
        <v>392</v>
      </c>
      <c r="C255" s="24" t="str">
        <f t="shared" si="8"/>
        <v>A392</v>
      </c>
      <c r="D255" s="13" t="s">
        <v>784</v>
      </c>
      <c r="E255" s="13" t="s">
        <v>1294</v>
      </c>
      <c r="F255" s="13" t="s">
        <v>1408</v>
      </c>
      <c r="G255" s="13" t="s">
        <v>783</v>
      </c>
      <c r="H255" s="13" t="s">
        <v>785</v>
      </c>
      <c r="I255" s="13">
        <v>0</v>
      </c>
      <c r="J255" s="13" t="s">
        <v>15</v>
      </c>
      <c r="K255" s="13" t="s">
        <v>11</v>
      </c>
      <c r="L255" s="13"/>
      <c r="M255" s="18" t="s">
        <v>2246</v>
      </c>
    </row>
    <row r="256" spans="1:13" ht="21" x14ac:dyDescent="0.25">
      <c r="A256" s="25">
        <v>394</v>
      </c>
      <c r="B256" s="25">
        <v>394</v>
      </c>
      <c r="C256" s="24" t="str">
        <f t="shared" si="8"/>
        <v>A394</v>
      </c>
      <c r="D256" s="13" t="s">
        <v>786</v>
      </c>
      <c r="E256" s="13" t="s">
        <v>787</v>
      </c>
      <c r="F256" s="13" t="s">
        <v>1403</v>
      </c>
      <c r="G256" s="13" t="s">
        <v>783</v>
      </c>
      <c r="H256" s="13" t="s">
        <v>18</v>
      </c>
      <c r="I256" s="13" t="s">
        <v>14</v>
      </c>
      <c r="J256" s="13" t="s">
        <v>15</v>
      </c>
      <c r="K256" s="13" t="s">
        <v>11</v>
      </c>
      <c r="L256" s="13"/>
      <c r="M256" s="18" t="s">
        <v>2246</v>
      </c>
    </row>
    <row r="257" spans="1:13" ht="21" x14ac:dyDescent="0.25">
      <c r="A257" s="25">
        <v>395</v>
      </c>
      <c r="B257" s="25">
        <v>395</v>
      </c>
      <c r="C257" s="24" t="str">
        <f t="shared" si="8"/>
        <v>A395</v>
      </c>
      <c r="D257" s="13" t="s">
        <v>788</v>
      </c>
      <c r="E257" s="13" t="s">
        <v>1299</v>
      </c>
      <c r="F257" s="13" t="s">
        <v>1409</v>
      </c>
      <c r="G257" s="13" t="s">
        <v>783</v>
      </c>
      <c r="H257" s="13" t="s">
        <v>785</v>
      </c>
      <c r="I257" s="13">
        <v>0</v>
      </c>
      <c r="J257" s="13" t="s">
        <v>15</v>
      </c>
      <c r="K257" s="13" t="s">
        <v>11</v>
      </c>
      <c r="L257" s="13"/>
      <c r="M257" s="18" t="s">
        <v>2246</v>
      </c>
    </row>
    <row r="258" spans="1:13" ht="21" x14ac:dyDescent="0.25">
      <c r="A258" s="25">
        <v>397</v>
      </c>
      <c r="B258" s="25">
        <v>397</v>
      </c>
      <c r="C258" s="24" t="str">
        <f t="shared" si="8"/>
        <v>A397</v>
      </c>
      <c r="D258" s="13" t="s">
        <v>789</v>
      </c>
      <c r="E258" s="13" t="s">
        <v>790</v>
      </c>
      <c r="F258" s="13" t="s">
        <v>1404</v>
      </c>
      <c r="G258" s="13" t="s">
        <v>783</v>
      </c>
      <c r="H258" s="13" t="s">
        <v>18</v>
      </c>
      <c r="I258" s="13" t="s">
        <v>14</v>
      </c>
      <c r="J258" s="13" t="s">
        <v>15</v>
      </c>
      <c r="K258" s="13" t="s">
        <v>11</v>
      </c>
      <c r="L258" s="13"/>
      <c r="M258" s="18" t="s">
        <v>2246</v>
      </c>
    </row>
    <row r="259" spans="1:13" ht="21" x14ac:dyDescent="0.25">
      <c r="A259" s="25">
        <v>398</v>
      </c>
      <c r="B259" s="25">
        <v>398</v>
      </c>
      <c r="C259" s="24" t="str">
        <f t="shared" si="8"/>
        <v>A398</v>
      </c>
      <c r="D259" s="13" t="s">
        <v>791</v>
      </c>
      <c r="E259" s="13" t="s">
        <v>1295</v>
      </c>
      <c r="F259" s="13" t="s">
        <v>1410</v>
      </c>
      <c r="G259" s="13" t="s">
        <v>783</v>
      </c>
      <c r="H259" s="13" t="s">
        <v>785</v>
      </c>
      <c r="I259" s="13">
        <v>0</v>
      </c>
      <c r="J259" s="13" t="s">
        <v>15</v>
      </c>
      <c r="K259" s="13" t="s">
        <v>11</v>
      </c>
      <c r="L259" s="13"/>
      <c r="M259" s="18" t="s">
        <v>2246</v>
      </c>
    </row>
    <row r="260" spans="1:13" ht="21" x14ac:dyDescent="0.25">
      <c r="A260" s="25">
        <v>400</v>
      </c>
      <c r="B260" s="25">
        <v>400</v>
      </c>
      <c r="C260" s="24" t="str">
        <f t="shared" si="8"/>
        <v>A400</v>
      </c>
      <c r="D260" s="13" t="s">
        <v>792</v>
      </c>
      <c r="E260" s="13" t="s">
        <v>793</v>
      </c>
      <c r="F260" s="13" t="s">
        <v>1405</v>
      </c>
      <c r="G260" s="13" t="s">
        <v>783</v>
      </c>
      <c r="H260" s="13" t="s">
        <v>18</v>
      </c>
      <c r="I260" s="13" t="s">
        <v>14</v>
      </c>
      <c r="J260" s="13" t="s">
        <v>15</v>
      </c>
      <c r="K260" s="13" t="s">
        <v>11</v>
      </c>
      <c r="L260" s="13"/>
      <c r="M260" s="18" t="s">
        <v>2246</v>
      </c>
    </row>
    <row r="261" spans="1:13" ht="21" x14ac:dyDescent="0.25">
      <c r="A261" s="25">
        <v>401</v>
      </c>
      <c r="B261" s="25">
        <v>401</v>
      </c>
      <c r="C261" s="24" t="str">
        <f t="shared" si="8"/>
        <v>A401</v>
      </c>
      <c r="D261" s="13" t="s">
        <v>794</v>
      </c>
      <c r="E261" s="13" t="s">
        <v>1296</v>
      </c>
      <c r="F261" s="13" t="s">
        <v>1411</v>
      </c>
      <c r="G261" s="13" t="s">
        <v>783</v>
      </c>
      <c r="H261" s="13" t="s">
        <v>785</v>
      </c>
      <c r="I261" s="13">
        <v>0</v>
      </c>
      <c r="J261" s="13" t="s">
        <v>15</v>
      </c>
      <c r="K261" s="13" t="s">
        <v>11</v>
      </c>
      <c r="L261" s="13"/>
      <c r="M261" s="18" t="s">
        <v>2246</v>
      </c>
    </row>
    <row r="262" spans="1:13" ht="21" x14ac:dyDescent="0.25">
      <c r="A262" s="25">
        <v>403</v>
      </c>
      <c r="B262" s="25">
        <v>403</v>
      </c>
      <c r="C262" s="24" t="str">
        <f t="shared" si="8"/>
        <v>A403</v>
      </c>
      <c r="D262" s="13" t="s">
        <v>795</v>
      </c>
      <c r="E262" s="13" t="s">
        <v>796</v>
      </c>
      <c r="F262" s="13" t="s">
        <v>1406</v>
      </c>
      <c r="G262" s="13" t="s">
        <v>783</v>
      </c>
      <c r="H262" s="13" t="s">
        <v>18</v>
      </c>
      <c r="I262" s="13" t="s">
        <v>14</v>
      </c>
      <c r="J262" s="13" t="s">
        <v>15</v>
      </c>
      <c r="K262" s="13" t="s">
        <v>11</v>
      </c>
      <c r="L262" s="13"/>
      <c r="M262" s="18" t="s">
        <v>2246</v>
      </c>
    </row>
    <row r="263" spans="1:13" ht="21" x14ac:dyDescent="0.25">
      <c r="A263" s="25">
        <v>404</v>
      </c>
      <c r="B263" s="25">
        <v>404</v>
      </c>
      <c r="C263" s="24" t="str">
        <f t="shared" si="8"/>
        <v>A404</v>
      </c>
      <c r="D263" s="13" t="s">
        <v>797</v>
      </c>
      <c r="E263" s="13" t="s">
        <v>1297</v>
      </c>
      <c r="F263" s="13" t="s">
        <v>1412</v>
      </c>
      <c r="G263" s="13" t="s">
        <v>783</v>
      </c>
      <c r="H263" s="13" t="s">
        <v>785</v>
      </c>
      <c r="I263" s="13">
        <v>0</v>
      </c>
      <c r="J263" s="13" t="s">
        <v>15</v>
      </c>
      <c r="K263" s="13" t="s">
        <v>11</v>
      </c>
      <c r="L263" s="13"/>
      <c r="M263" s="18" t="s">
        <v>2246</v>
      </c>
    </row>
    <row r="264" spans="1:13" ht="21" x14ac:dyDescent="0.25">
      <c r="A264" s="25">
        <v>406</v>
      </c>
      <c r="B264" s="25">
        <v>406</v>
      </c>
      <c r="C264" s="24" t="str">
        <f t="shared" si="8"/>
        <v>A406</v>
      </c>
      <c r="D264" s="13" t="s">
        <v>798</v>
      </c>
      <c r="E264" s="13" t="s">
        <v>799</v>
      </c>
      <c r="F264" s="13" t="s">
        <v>1407</v>
      </c>
      <c r="G264" s="13" t="s">
        <v>783</v>
      </c>
      <c r="H264" s="13" t="s">
        <v>18</v>
      </c>
      <c r="I264" s="13" t="s">
        <v>14</v>
      </c>
      <c r="J264" s="13" t="s">
        <v>15</v>
      </c>
      <c r="K264" s="13" t="s">
        <v>11</v>
      </c>
      <c r="L264" s="13"/>
      <c r="M264" s="18" t="s">
        <v>2246</v>
      </c>
    </row>
    <row r="265" spans="1:13" ht="21" x14ac:dyDescent="0.25">
      <c r="A265" s="25">
        <v>407</v>
      </c>
      <c r="B265" s="25">
        <v>407</v>
      </c>
      <c r="C265" s="24" t="str">
        <f t="shared" si="8"/>
        <v>A407</v>
      </c>
      <c r="D265" s="13" t="s">
        <v>800</v>
      </c>
      <c r="E265" s="13" t="s">
        <v>1298</v>
      </c>
      <c r="F265" s="13" t="s">
        <v>1413</v>
      </c>
      <c r="G265" s="13" t="s">
        <v>783</v>
      </c>
      <c r="H265" s="13" t="s">
        <v>785</v>
      </c>
      <c r="I265" s="13">
        <v>0</v>
      </c>
      <c r="J265" s="13" t="s">
        <v>15</v>
      </c>
      <c r="K265" s="13" t="s">
        <v>11</v>
      </c>
      <c r="L265" s="13"/>
      <c r="M265" s="18" t="s">
        <v>2246</v>
      </c>
    </row>
    <row r="266" spans="1:13" x14ac:dyDescent="0.25">
      <c r="A266" s="25">
        <v>409</v>
      </c>
      <c r="B266" s="25">
        <v>409</v>
      </c>
      <c r="C266" s="24" t="str">
        <f t="shared" si="8"/>
        <v>A409</v>
      </c>
      <c r="D266" s="13" t="s">
        <v>801</v>
      </c>
      <c r="E266" s="13" t="s">
        <v>1995</v>
      </c>
      <c r="F266" s="13" t="s">
        <v>802</v>
      </c>
      <c r="G266" s="13" t="s">
        <v>280</v>
      </c>
      <c r="H266" s="13" t="s">
        <v>8</v>
      </c>
      <c r="I266" s="13">
        <v>0</v>
      </c>
      <c r="J266" s="13" t="s">
        <v>20</v>
      </c>
      <c r="K266" s="13" t="s">
        <v>11</v>
      </c>
      <c r="L266" s="13"/>
      <c r="M266" s="18" t="s">
        <v>2246</v>
      </c>
    </row>
    <row r="267" spans="1:13" ht="21" x14ac:dyDescent="0.25">
      <c r="A267" s="25">
        <v>410</v>
      </c>
      <c r="B267" s="25">
        <v>410</v>
      </c>
      <c r="C267" s="24" t="str">
        <f t="shared" si="8"/>
        <v>A410</v>
      </c>
      <c r="D267" s="13" t="s">
        <v>803</v>
      </c>
      <c r="E267" s="13" t="s">
        <v>1996</v>
      </c>
      <c r="F267" s="13" t="s">
        <v>1414</v>
      </c>
      <c r="G267" s="13" t="s">
        <v>0</v>
      </c>
      <c r="H267" s="13" t="s">
        <v>13</v>
      </c>
      <c r="I267" s="13" t="s">
        <v>9</v>
      </c>
      <c r="J267" s="13" t="s">
        <v>10</v>
      </c>
      <c r="K267" s="13" t="s">
        <v>11</v>
      </c>
      <c r="L267" s="13"/>
      <c r="M267" s="18" t="s">
        <v>2246</v>
      </c>
    </row>
    <row r="268" spans="1:13" x14ac:dyDescent="0.25">
      <c r="A268" s="25">
        <v>411</v>
      </c>
      <c r="B268" s="25">
        <v>411</v>
      </c>
      <c r="C268" s="24" t="str">
        <f t="shared" si="8"/>
        <v>A411</v>
      </c>
      <c r="D268" s="13" t="s">
        <v>804</v>
      </c>
      <c r="E268" s="13" t="s">
        <v>1997</v>
      </c>
      <c r="F268" s="13" t="s">
        <v>805</v>
      </c>
      <c r="G268" s="13" t="s">
        <v>0</v>
      </c>
      <c r="H268" s="13" t="s">
        <v>13</v>
      </c>
      <c r="I268" s="13">
        <v>0</v>
      </c>
      <c r="J268" s="13" t="s">
        <v>27</v>
      </c>
      <c r="K268" s="13" t="s">
        <v>11</v>
      </c>
      <c r="L268" s="13"/>
      <c r="M268" s="18" t="s">
        <v>2246</v>
      </c>
    </row>
    <row r="269" spans="1:13" ht="21" x14ac:dyDescent="0.25">
      <c r="A269" s="25">
        <v>412</v>
      </c>
      <c r="B269" s="25">
        <v>412</v>
      </c>
      <c r="C269" s="24" t="str">
        <f t="shared" si="8"/>
        <v>A412</v>
      </c>
      <c r="D269" s="13" t="s">
        <v>806</v>
      </c>
      <c r="E269" s="13" t="s">
        <v>1998</v>
      </c>
      <c r="F269" s="13" t="s">
        <v>807</v>
      </c>
      <c r="G269" s="13" t="s">
        <v>0</v>
      </c>
      <c r="H269" s="13" t="s">
        <v>13</v>
      </c>
      <c r="I269" s="13">
        <v>0</v>
      </c>
      <c r="J269" s="13" t="s">
        <v>10</v>
      </c>
      <c r="K269" s="13" t="s">
        <v>11</v>
      </c>
      <c r="L269" s="13"/>
      <c r="M269" s="18" t="s">
        <v>2246</v>
      </c>
    </row>
    <row r="270" spans="1:13" x14ac:dyDescent="0.25">
      <c r="A270" s="25">
        <v>415</v>
      </c>
      <c r="B270" s="25">
        <v>415</v>
      </c>
      <c r="C270" s="24" t="str">
        <f t="shared" si="8"/>
        <v>A415</v>
      </c>
      <c r="D270" s="13" t="s">
        <v>808</v>
      </c>
      <c r="E270" s="13" t="s">
        <v>1999</v>
      </c>
      <c r="F270" s="13" t="s">
        <v>2001</v>
      </c>
      <c r="G270" s="13" t="s">
        <v>0</v>
      </c>
      <c r="H270" s="13" t="s">
        <v>48</v>
      </c>
      <c r="I270" s="13" t="s">
        <v>648</v>
      </c>
      <c r="J270" s="13" t="s">
        <v>649</v>
      </c>
      <c r="K270" s="13" t="s">
        <v>11</v>
      </c>
      <c r="L270" s="13"/>
      <c r="M270" s="18" t="s">
        <v>2246</v>
      </c>
    </row>
    <row r="271" spans="1:13" ht="21" x14ac:dyDescent="0.25">
      <c r="A271" s="25">
        <v>416</v>
      </c>
      <c r="B271" s="25">
        <v>416</v>
      </c>
      <c r="C271" s="24" t="str">
        <f t="shared" si="8"/>
        <v>A416</v>
      </c>
      <c r="D271" s="13" t="s">
        <v>809</v>
      </c>
      <c r="E271" s="13" t="s">
        <v>2000</v>
      </c>
      <c r="F271" s="13" t="s">
        <v>2002</v>
      </c>
      <c r="G271" s="13" t="s">
        <v>0</v>
      </c>
      <c r="H271" s="13" t="s">
        <v>48</v>
      </c>
      <c r="I271" s="13" t="s">
        <v>648</v>
      </c>
      <c r="J271" s="13" t="s">
        <v>649</v>
      </c>
      <c r="K271" s="13" t="s">
        <v>16</v>
      </c>
      <c r="L271" s="13"/>
      <c r="M271" s="18" t="s">
        <v>2246</v>
      </c>
    </row>
    <row r="272" spans="1:13" ht="21" x14ac:dyDescent="0.25">
      <c r="A272" s="25">
        <v>421</v>
      </c>
      <c r="B272" s="25">
        <v>421</v>
      </c>
      <c r="C272" s="24" t="str">
        <f t="shared" si="8"/>
        <v>A421</v>
      </c>
      <c r="D272" s="13" t="s">
        <v>810</v>
      </c>
      <c r="E272" s="13" t="s">
        <v>1300</v>
      </c>
      <c r="F272" s="13" t="s">
        <v>1415</v>
      </c>
      <c r="G272" s="13" t="s">
        <v>0</v>
      </c>
      <c r="H272" s="13" t="s">
        <v>287</v>
      </c>
      <c r="I272" s="13">
        <v>0</v>
      </c>
      <c r="J272" s="13" t="s">
        <v>10</v>
      </c>
      <c r="K272" s="13" t="s">
        <v>11</v>
      </c>
      <c r="L272" s="13"/>
      <c r="M272" s="18" t="s">
        <v>2246</v>
      </c>
    </row>
    <row r="273" spans="1:13" ht="21" x14ac:dyDescent="0.25">
      <c r="A273" s="25">
        <v>422</v>
      </c>
      <c r="B273" s="25">
        <v>422</v>
      </c>
      <c r="C273" s="24" t="str">
        <f t="shared" si="8"/>
        <v>A422</v>
      </c>
      <c r="D273" s="13" t="s">
        <v>812</v>
      </c>
      <c r="E273" s="13" t="s">
        <v>1301</v>
      </c>
      <c r="F273" s="13" t="s">
        <v>1416</v>
      </c>
      <c r="G273" s="13" t="s">
        <v>0</v>
      </c>
      <c r="H273" s="13" t="s">
        <v>287</v>
      </c>
      <c r="I273" s="13">
        <v>0</v>
      </c>
      <c r="J273" s="13" t="s">
        <v>10</v>
      </c>
      <c r="K273" s="13" t="s">
        <v>11</v>
      </c>
      <c r="L273" s="13"/>
      <c r="M273" s="18" t="s">
        <v>2246</v>
      </c>
    </row>
    <row r="274" spans="1:13" ht="21" x14ac:dyDescent="0.25">
      <c r="A274" s="25">
        <v>423</v>
      </c>
      <c r="B274" s="25">
        <v>423</v>
      </c>
      <c r="C274" s="24" t="str">
        <f t="shared" si="8"/>
        <v>A423</v>
      </c>
      <c r="D274" s="13" t="s">
        <v>813</v>
      </c>
      <c r="E274" s="13" t="s">
        <v>2003</v>
      </c>
      <c r="F274" s="13" t="s">
        <v>814</v>
      </c>
      <c r="G274" s="13" t="s">
        <v>0</v>
      </c>
      <c r="H274" s="13" t="s">
        <v>18</v>
      </c>
      <c r="I274" s="13" t="s">
        <v>19</v>
      </c>
      <c r="J274" s="13" t="s">
        <v>20</v>
      </c>
      <c r="K274" s="13" t="s">
        <v>11</v>
      </c>
      <c r="L274" s="13"/>
      <c r="M274" s="18" t="s">
        <v>2246</v>
      </c>
    </row>
    <row r="275" spans="1:13" ht="21" x14ac:dyDescent="0.25">
      <c r="A275" s="25">
        <v>429</v>
      </c>
      <c r="B275" s="25">
        <v>429</v>
      </c>
      <c r="C275" s="24" t="str">
        <f t="shared" si="8"/>
        <v>A429</v>
      </c>
      <c r="D275" s="13" t="s">
        <v>815</v>
      </c>
      <c r="E275" s="13" t="s">
        <v>2004</v>
      </c>
      <c r="F275" s="13" t="s">
        <v>2005</v>
      </c>
      <c r="G275" s="13" t="s">
        <v>647</v>
      </c>
      <c r="H275" s="13" t="s">
        <v>48</v>
      </c>
      <c r="I275" s="13" t="s">
        <v>648</v>
      </c>
      <c r="J275" s="13" t="s">
        <v>649</v>
      </c>
      <c r="K275" s="13" t="s">
        <v>16</v>
      </c>
      <c r="L275" s="13"/>
      <c r="M275" s="18" t="s">
        <v>2246</v>
      </c>
    </row>
    <row r="276" spans="1:13" x14ac:dyDescent="0.25">
      <c r="A276" s="25">
        <v>431</v>
      </c>
      <c r="B276" s="25">
        <v>431</v>
      </c>
      <c r="C276" s="24" t="str">
        <f>"A"&amp;B276</f>
        <v>A431</v>
      </c>
      <c r="D276" s="13" t="s">
        <v>816</v>
      </c>
      <c r="E276" s="13" t="s">
        <v>1302</v>
      </c>
      <c r="F276" s="13"/>
      <c r="G276" s="13" t="s">
        <v>0</v>
      </c>
      <c r="H276" s="13" t="s">
        <v>107</v>
      </c>
      <c r="I276" s="13">
        <v>0</v>
      </c>
      <c r="J276" s="13" t="s">
        <v>20</v>
      </c>
      <c r="K276" s="13" t="s">
        <v>11</v>
      </c>
      <c r="L276" s="13"/>
      <c r="M276" s="18" t="s">
        <v>2246</v>
      </c>
    </row>
    <row r="277" spans="1:13" ht="21" x14ac:dyDescent="0.25">
      <c r="A277" s="25">
        <v>434</v>
      </c>
      <c r="B277" s="25">
        <v>434</v>
      </c>
      <c r="C277" s="24" t="str">
        <f t="shared" ref="C277:C285" si="9">"A"&amp;B277</f>
        <v>A434</v>
      </c>
      <c r="D277" s="13" t="s">
        <v>1417</v>
      </c>
      <c r="E277" s="13" t="s">
        <v>2008</v>
      </c>
      <c r="F277" s="13" t="s">
        <v>2006</v>
      </c>
      <c r="G277" s="13"/>
      <c r="H277" s="13" t="s">
        <v>18</v>
      </c>
      <c r="I277" s="13" t="s">
        <v>9</v>
      </c>
      <c r="J277" s="13" t="s">
        <v>10</v>
      </c>
      <c r="K277" s="13" t="s">
        <v>16</v>
      </c>
      <c r="L277" s="13"/>
      <c r="M277" s="18" t="s">
        <v>2246</v>
      </c>
    </row>
    <row r="278" spans="1:13" ht="21" x14ac:dyDescent="0.25">
      <c r="A278" s="25">
        <v>435</v>
      </c>
      <c r="B278" s="25">
        <v>435</v>
      </c>
      <c r="C278" s="24" t="str">
        <f t="shared" si="9"/>
        <v>A435</v>
      </c>
      <c r="D278" s="13" t="s">
        <v>1418</v>
      </c>
      <c r="E278" s="13" t="s">
        <v>2007</v>
      </c>
      <c r="F278" s="13" t="s">
        <v>2013</v>
      </c>
      <c r="G278" s="13"/>
      <c r="H278" s="13" t="s">
        <v>13</v>
      </c>
      <c r="I278" s="13" t="s">
        <v>9</v>
      </c>
      <c r="J278" s="13" t="s">
        <v>10</v>
      </c>
      <c r="K278" s="13" t="s">
        <v>11</v>
      </c>
      <c r="L278" s="13"/>
      <c r="M278" s="18" t="s">
        <v>2246</v>
      </c>
    </row>
    <row r="279" spans="1:13" ht="21" x14ac:dyDescent="0.25">
      <c r="A279" s="25">
        <v>436</v>
      </c>
      <c r="B279" s="25">
        <v>436</v>
      </c>
      <c r="C279" s="24" t="str">
        <f t="shared" si="9"/>
        <v>A436</v>
      </c>
      <c r="D279" s="13" t="s">
        <v>993</v>
      </c>
      <c r="E279" s="13" t="s">
        <v>2012</v>
      </c>
      <c r="F279" s="13" t="s">
        <v>2014</v>
      </c>
      <c r="G279" s="13"/>
      <c r="H279" s="13" t="s">
        <v>18</v>
      </c>
      <c r="I279" s="13" t="s">
        <v>52</v>
      </c>
      <c r="J279" s="13" t="s">
        <v>20</v>
      </c>
      <c r="K279" s="13" t="s">
        <v>16</v>
      </c>
      <c r="L279" s="13"/>
      <c r="M279" s="18" t="s">
        <v>2246</v>
      </c>
    </row>
    <row r="280" spans="1:13" ht="31.5" x14ac:dyDescent="0.25">
      <c r="A280" s="25">
        <v>437</v>
      </c>
      <c r="B280" s="25">
        <v>437</v>
      </c>
      <c r="C280" s="24" t="str">
        <f t="shared" si="9"/>
        <v>A437</v>
      </c>
      <c r="D280" s="13" t="s">
        <v>1419</v>
      </c>
      <c r="E280" s="13" t="s">
        <v>2011</v>
      </c>
      <c r="F280" s="13" t="s">
        <v>2015</v>
      </c>
      <c r="G280" s="13"/>
      <c r="H280" s="13" t="s">
        <v>13</v>
      </c>
      <c r="I280" s="13">
        <v>0</v>
      </c>
      <c r="J280" s="13" t="s">
        <v>27</v>
      </c>
      <c r="K280" s="13" t="s">
        <v>16</v>
      </c>
      <c r="L280" s="13"/>
      <c r="M280" s="18" t="s">
        <v>2248</v>
      </c>
    </row>
    <row r="281" spans="1:13" ht="21" x14ac:dyDescent="0.25">
      <c r="A281" s="25">
        <v>438</v>
      </c>
      <c r="B281" s="25">
        <v>438</v>
      </c>
      <c r="C281" s="24" t="str">
        <f t="shared" si="9"/>
        <v>A438</v>
      </c>
      <c r="D281" s="13" t="s">
        <v>994</v>
      </c>
      <c r="E281" s="13" t="s">
        <v>2010</v>
      </c>
      <c r="F281" s="13" t="s">
        <v>2016</v>
      </c>
      <c r="G281" s="13"/>
      <c r="H281" s="13" t="s">
        <v>13</v>
      </c>
      <c r="I281" s="13" t="s">
        <v>52</v>
      </c>
      <c r="J281" s="13" t="s">
        <v>20</v>
      </c>
      <c r="K281" s="13" t="s">
        <v>16</v>
      </c>
      <c r="L281" s="13"/>
      <c r="M281" s="18" t="s">
        <v>2248</v>
      </c>
    </row>
    <row r="282" spans="1:13" ht="21" x14ac:dyDescent="0.25">
      <c r="A282" s="25">
        <v>439</v>
      </c>
      <c r="B282" s="25">
        <v>439</v>
      </c>
      <c r="C282" s="24" t="str">
        <f t="shared" si="9"/>
        <v>A439</v>
      </c>
      <c r="D282" s="13" t="s">
        <v>995</v>
      </c>
      <c r="E282" s="13" t="s">
        <v>2009</v>
      </c>
      <c r="F282" s="13" t="s">
        <v>2017</v>
      </c>
      <c r="G282" s="13"/>
      <c r="H282" s="13" t="s">
        <v>13</v>
      </c>
      <c r="I282" s="13" t="s">
        <v>52</v>
      </c>
      <c r="J282" s="13" t="s">
        <v>20</v>
      </c>
      <c r="K282" s="13" t="s">
        <v>16</v>
      </c>
      <c r="L282" s="13"/>
      <c r="M282" s="18" t="s">
        <v>2248</v>
      </c>
    </row>
    <row r="283" spans="1:13" ht="21" x14ac:dyDescent="0.25">
      <c r="A283" s="25">
        <v>440</v>
      </c>
      <c r="B283" s="25">
        <v>440</v>
      </c>
      <c r="C283" s="24" t="str">
        <f t="shared" si="9"/>
        <v>A440</v>
      </c>
      <c r="D283" s="13" t="s">
        <v>1420</v>
      </c>
      <c r="E283" s="13" t="s">
        <v>2018</v>
      </c>
      <c r="F283" s="13" t="s">
        <v>2019</v>
      </c>
      <c r="G283" s="13"/>
      <c r="H283" s="13" t="s">
        <v>13</v>
      </c>
      <c r="I283" s="13" t="s">
        <v>9</v>
      </c>
      <c r="J283" s="13" t="s">
        <v>10</v>
      </c>
      <c r="K283" s="13" t="s">
        <v>16</v>
      </c>
      <c r="L283" s="13"/>
      <c r="M283" s="18" t="s">
        <v>2248</v>
      </c>
    </row>
    <row r="284" spans="1:13" ht="21" x14ac:dyDescent="0.25">
      <c r="A284" s="25">
        <v>441</v>
      </c>
      <c r="B284" s="25">
        <v>441</v>
      </c>
      <c r="C284" s="24" t="str">
        <f t="shared" si="9"/>
        <v>A441</v>
      </c>
      <c r="D284" s="13" t="s">
        <v>1421</v>
      </c>
      <c r="E284" s="13" t="s">
        <v>2020</v>
      </c>
      <c r="F284" s="13" t="s">
        <v>2022</v>
      </c>
      <c r="G284" s="13"/>
      <c r="H284" s="13" t="s">
        <v>13</v>
      </c>
      <c r="I284" s="13" t="s">
        <v>9</v>
      </c>
      <c r="J284" s="13" t="s">
        <v>10</v>
      </c>
      <c r="K284" s="13" t="s">
        <v>16</v>
      </c>
      <c r="L284" s="13"/>
      <c r="M284" s="18" t="s">
        <v>2248</v>
      </c>
    </row>
    <row r="285" spans="1:13" ht="21" x14ac:dyDescent="0.25">
      <c r="A285" s="25">
        <v>442</v>
      </c>
      <c r="B285" s="25">
        <v>442</v>
      </c>
      <c r="C285" s="24" t="str">
        <f t="shared" si="9"/>
        <v>A442</v>
      </c>
      <c r="D285" s="13" t="s">
        <v>1422</v>
      </c>
      <c r="E285" s="13" t="s">
        <v>2021</v>
      </c>
      <c r="F285" s="13" t="s">
        <v>2023</v>
      </c>
      <c r="G285" s="13"/>
      <c r="H285" s="13" t="s">
        <v>13</v>
      </c>
      <c r="I285" s="13" t="s">
        <v>9</v>
      </c>
      <c r="J285" s="13" t="s">
        <v>10</v>
      </c>
      <c r="K285" s="13" t="s">
        <v>16</v>
      </c>
      <c r="L285" s="13"/>
      <c r="M285" s="18" t="s">
        <v>2248</v>
      </c>
    </row>
    <row r="299" spans="2:13" s="15" customFormat="1" x14ac:dyDescent="0.25">
      <c r="B299" s="14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</row>
    <row r="300" spans="2:13" s="15" customFormat="1" x14ac:dyDescent="0.25">
      <c r="B300" s="14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</row>
    <row r="301" spans="2:13" s="15" customFormat="1" x14ac:dyDescent="0.25">
      <c r="B301" s="14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</row>
    <row r="302" spans="2:13" s="15" customFormat="1" x14ac:dyDescent="0.25">
      <c r="B302" s="14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</row>
    <row r="303" spans="2:13" s="15" customFormat="1" x14ac:dyDescent="0.25">
      <c r="B303" s="14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</row>
    <row r="304" spans="2:13" s="15" customFormat="1" x14ac:dyDescent="0.25">
      <c r="B304" s="14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</row>
    <row r="305" spans="2:13" s="15" customFormat="1" x14ac:dyDescent="0.25">
      <c r="B305" s="14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</row>
    <row r="306" spans="2:13" s="15" customFormat="1" x14ac:dyDescent="0.25">
      <c r="B306" s="14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</row>
    <row r="307" spans="2:13" s="15" customFormat="1" x14ac:dyDescent="0.25">
      <c r="B307" s="14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</row>
    <row r="308" spans="2:13" s="15" customFormat="1" x14ac:dyDescent="0.25">
      <c r="B308" s="14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</row>
    <row r="309" spans="2:13" s="15" customFormat="1" x14ac:dyDescent="0.25">
      <c r="B309" s="14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</row>
  </sheetData>
  <mergeCells count="1">
    <mergeCell ref="A2:M2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3D93D-BA7C-4EF5-940B-3782A6487CF2}">
  <sheetPr codeName="Sheet2"/>
  <dimension ref="A1:N300"/>
  <sheetViews>
    <sheetView tabSelected="1" zoomScale="145" zoomScaleNormal="145" workbookViewId="0">
      <pane ySplit="3" topLeftCell="A86" activePane="bottomLeft" state="frozen"/>
      <selection pane="bottomLeft" activeCell="H88" sqref="H88:H95"/>
    </sheetView>
  </sheetViews>
  <sheetFormatPr baseColWidth="10" defaultColWidth="54.7109375" defaultRowHeight="10.5" x14ac:dyDescent="0.25"/>
  <cols>
    <col min="1" max="1" width="8.7109375" style="11" bestFit="1" customWidth="1"/>
    <col min="2" max="2" width="13.7109375" style="11" bestFit="1" customWidth="1"/>
    <col min="3" max="3" width="12.85546875" style="11" bestFit="1" customWidth="1"/>
    <col min="4" max="4" width="25.7109375" style="11" bestFit="1" customWidth="1"/>
    <col min="5" max="5" width="28.42578125" style="11" customWidth="1"/>
    <col min="6" max="6" width="24.7109375" style="11" customWidth="1"/>
    <col min="7" max="7" width="18.7109375" style="11" hidden="1" customWidth="1"/>
    <col min="8" max="8" width="4.42578125" style="11" bestFit="1" customWidth="1"/>
    <col min="9" max="10" width="5.42578125" style="11" bestFit="1" customWidth="1"/>
    <col min="11" max="11" width="6.85546875" style="11" bestFit="1" customWidth="1"/>
    <col min="12" max="12" width="8.28515625" style="11" hidden="1" customWidth="1"/>
    <col min="13" max="13" width="20.28515625" style="11" customWidth="1"/>
    <col min="14" max="16384" width="54.7109375" style="11"/>
  </cols>
  <sheetData>
    <row r="1" spans="1:13" x14ac:dyDescent="0.25">
      <c r="A1" s="17"/>
      <c r="B1" s="17"/>
      <c r="C1" s="17" t="s">
        <v>2685</v>
      </c>
    </row>
    <row r="2" spans="1:13" x14ac:dyDescent="0.25">
      <c r="A2" s="33" t="s">
        <v>451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x14ac:dyDescent="0.25">
      <c r="A3" s="1" t="s">
        <v>1243</v>
      </c>
      <c r="B3" s="1" t="s">
        <v>1244</v>
      </c>
      <c r="C3" s="1" t="s">
        <v>1242</v>
      </c>
      <c r="D3" s="1" t="s">
        <v>6</v>
      </c>
      <c r="E3" s="1" t="s">
        <v>1245</v>
      </c>
      <c r="F3" s="1" t="s">
        <v>1246</v>
      </c>
      <c r="G3" s="1" t="s">
        <v>1</v>
      </c>
      <c r="H3" s="1" t="s">
        <v>2</v>
      </c>
      <c r="I3" s="1" t="s">
        <v>3</v>
      </c>
      <c r="J3" s="1" t="s">
        <v>4</v>
      </c>
      <c r="K3" s="1" t="s">
        <v>16</v>
      </c>
      <c r="L3" s="1" t="s">
        <v>2267</v>
      </c>
      <c r="M3" s="1" t="s">
        <v>2245</v>
      </c>
    </row>
    <row r="4" spans="1:13" x14ac:dyDescent="0.25">
      <c r="A4" s="13">
        <v>1</v>
      </c>
      <c r="B4" s="13">
        <f>A4+5001</f>
        <v>5002</v>
      </c>
      <c r="C4" s="2" t="str">
        <f>"I"&amp;A4</f>
        <v>I1</v>
      </c>
      <c r="D4" s="13" t="s">
        <v>170</v>
      </c>
      <c r="E4" s="13" t="s">
        <v>507</v>
      </c>
      <c r="F4" s="13" t="s">
        <v>1423</v>
      </c>
      <c r="G4" s="13" t="s">
        <v>7</v>
      </c>
      <c r="H4" s="13" t="s">
        <v>169</v>
      </c>
      <c r="I4" s="13">
        <v>0</v>
      </c>
      <c r="J4" s="13">
        <v>9999</v>
      </c>
      <c r="K4" s="13" t="s">
        <v>11</v>
      </c>
      <c r="L4" s="13"/>
      <c r="M4" s="18" t="s">
        <v>2246</v>
      </c>
    </row>
    <row r="5" spans="1:13" ht="21" x14ac:dyDescent="0.25">
      <c r="A5" s="13">
        <v>2</v>
      </c>
      <c r="B5" s="13">
        <f t="shared" ref="B5:B57" si="0">A5+5001</f>
        <v>5003</v>
      </c>
      <c r="C5" s="2" t="str">
        <f t="shared" ref="C5:C57" si="1">"I"&amp;A5</f>
        <v>I2</v>
      </c>
      <c r="D5" s="13" t="s">
        <v>171</v>
      </c>
      <c r="E5" s="13" t="s">
        <v>508</v>
      </c>
      <c r="F5" s="13" t="s">
        <v>818</v>
      </c>
      <c r="G5" s="13" t="s">
        <v>0</v>
      </c>
      <c r="H5" s="13" t="s">
        <v>13</v>
      </c>
      <c r="I5" s="13">
        <v>0</v>
      </c>
      <c r="J5" s="13">
        <v>10</v>
      </c>
      <c r="K5" s="13" t="s">
        <v>11</v>
      </c>
      <c r="L5" s="13"/>
      <c r="M5" s="18" t="s">
        <v>2246</v>
      </c>
    </row>
    <row r="6" spans="1:13" x14ac:dyDescent="0.25">
      <c r="A6" s="13">
        <v>3</v>
      </c>
      <c r="B6" s="13">
        <f t="shared" si="0"/>
        <v>5004</v>
      </c>
      <c r="C6" s="2" t="str">
        <f t="shared" si="1"/>
        <v>I3</v>
      </c>
      <c r="D6" s="13" t="s">
        <v>172</v>
      </c>
      <c r="E6" s="13" t="s">
        <v>509</v>
      </c>
      <c r="F6" s="13" t="s">
        <v>1424</v>
      </c>
      <c r="G6" s="13" t="s">
        <v>0</v>
      </c>
      <c r="H6" s="13" t="s">
        <v>13</v>
      </c>
      <c r="I6" s="13">
        <v>-32768</v>
      </c>
      <c r="J6" s="13">
        <v>32767</v>
      </c>
      <c r="K6" s="13" t="s">
        <v>11</v>
      </c>
      <c r="L6" s="13"/>
      <c r="M6" s="18" t="s">
        <v>2246</v>
      </c>
    </row>
    <row r="7" spans="1:13" x14ac:dyDescent="0.25">
      <c r="A7" s="13">
        <v>4</v>
      </c>
      <c r="B7" s="13">
        <f t="shared" si="0"/>
        <v>5005</v>
      </c>
      <c r="C7" s="2" t="str">
        <f t="shared" si="1"/>
        <v>I4</v>
      </c>
      <c r="D7" s="13" t="s">
        <v>173</v>
      </c>
      <c r="E7" s="13" t="s">
        <v>510</v>
      </c>
      <c r="F7" s="13" t="s">
        <v>1425</v>
      </c>
      <c r="G7" s="13" t="s">
        <v>0</v>
      </c>
      <c r="H7" s="13" t="s">
        <v>13</v>
      </c>
      <c r="I7" s="13">
        <v>-32768</v>
      </c>
      <c r="J7" s="13">
        <v>32767</v>
      </c>
      <c r="K7" s="13" t="s">
        <v>11</v>
      </c>
      <c r="L7" s="13"/>
      <c r="M7" s="18" t="s">
        <v>2246</v>
      </c>
    </row>
    <row r="8" spans="1:13" x14ac:dyDescent="0.25">
      <c r="A8" s="13">
        <v>5</v>
      </c>
      <c r="B8" s="13">
        <f t="shared" si="0"/>
        <v>5006</v>
      </c>
      <c r="C8" s="2" t="str">
        <f t="shared" si="1"/>
        <v>I5</v>
      </c>
      <c r="D8" s="13" t="s">
        <v>174</v>
      </c>
      <c r="E8" s="13" t="s">
        <v>511</v>
      </c>
      <c r="F8" s="13" t="s">
        <v>1426</v>
      </c>
      <c r="G8" s="13" t="s">
        <v>0</v>
      </c>
      <c r="H8" s="13" t="s">
        <v>13</v>
      </c>
      <c r="I8" s="13">
        <v>-32768</v>
      </c>
      <c r="J8" s="13">
        <v>32767</v>
      </c>
      <c r="K8" s="13" t="s">
        <v>11</v>
      </c>
      <c r="L8" s="13"/>
      <c r="M8" s="18" t="s">
        <v>2246</v>
      </c>
    </row>
    <row r="9" spans="1:13" x14ac:dyDescent="0.25">
      <c r="A9" s="13">
        <v>6</v>
      </c>
      <c r="B9" s="13">
        <f t="shared" si="0"/>
        <v>5007</v>
      </c>
      <c r="C9" s="2" t="str">
        <f t="shared" si="1"/>
        <v>I6</v>
      </c>
      <c r="D9" s="13" t="s">
        <v>175</v>
      </c>
      <c r="E9" s="13" t="s">
        <v>512</v>
      </c>
      <c r="F9" s="13" t="s">
        <v>1427</v>
      </c>
      <c r="G9" s="13" t="s">
        <v>0</v>
      </c>
      <c r="H9" s="13" t="s">
        <v>13</v>
      </c>
      <c r="I9" s="13">
        <v>-32768</v>
      </c>
      <c r="J9" s="13">
        <v>32767</v>
      </c>
      <c r="K9" s="13" t="s">
        <v>11</v>
      </c>
      <c r="L9" s="13"/>
      <c r="M9" s="18" t="s">
        <v>2246</v>
      </c>
    </row>
    <row r="10" spans="1:13" x14ac:dyDescent="0.25">
      <c r="A10" s="13">
        <v>7</v>
      </c>
      <c r="B10" s="13">
        <f t="shared" si="0"/>
        <v>5008</v>
      </c>
      <c r="C10" s="2" t="str">
        <f t="shared" si="1"/>
        <v>I7</v>
      </c>
      <c r="D10" s="13" t="s">
        <v>176</v>
      </c>
      <c r="E10" s="13" t="s">
        <v>513</v>
      </c>
      <c r="F10" s="13" t="s">
        <v>1428</v>
      </c>
      <c r="G10" s="13" t="s">
        <v>0</v>
      </c>
      <c r="H10" s="13" t="s">
        <v>13</v>
      </c>
      <c r="I10" s="13">
        <v>-32768</v>
      </c>
      <c r="J10" s="13">
        <v>32767</v>
      </c>
      <c r="K10" s="13" t="s">
        <v>11</v>
      </c>
      <c r="L10" s="13"/>
      <c r="M10" s="18" t="s">
        <v>2246</v>
      </c>
    </row>
    <row r="11" spans="1:13" x14ac:dyDescent="0.25">
      <c r="A11" s="13">
        <v>8</v>
      </c>
      <c r="B11" s="13">
        <f t="shared" si="0"/>
        <v>5009</v>
      </c>
      <c r="C11" s="2" t="str">
        <f t="shared" si="1"/>
        <v>I8</v>
      </c>
      <c r="D11" s="13" t="s">
        <v>177</v>
      </c>
      <c r="E11" s="13" t="s">
        <v>514</v>
      </c>
      <c r="F11" s="13" t="s">
        <v>1429</v>
      </c>
      <c r="G11" s="13" t="s">
        <v>0</v>
      </c>
      <c r="H11" s="13" t="s">
        <v>13</v>
      </c>
      <c r="I11" s="13">
        <v>-32768</v>
      </c>
      <c r="J11" s="13">
        <v>32767</v>
      </c>
      <c r="K11" s="13" t="s">
        <v>11</v>
      </c>
      <c r="L11" s="13"/>
      <c r="M11" s="18" t="s">
        <v>2246</v>
      </c>
    </row>
    <row r="12" spans="1:13" ht="21" x14ac:dyDescent="0.25">
      <c r="A12" s="13">
        <v>9</v>
      </c>
      <c r="B12" s="13">
        <f t="shared" si="0"/>
        <v>5010</v>
      </c>
      <c r="C12" s="2" t="str">
        <f t="shared" si="1"/>
        <v>I9</v>
      </c>
      <c r="D12" s="13" t="s">
        <v>178</v>
      </c>
      <c r="E12" s="13" t="s">
        <v>1467</v>
      </c>
      <c r="F12" s="13" t="s">
        <v>1430</v>
      </c>
      <c r="G12" s="13" t="s">
        <v>0</v>
      </c>
      <c r="H12" s="13" t="s">
        <v>13</v>
      </c>
      <c r="I12" s="13">
        <v>-32768</v>
      </c>
      <c r="J12" s="13">
        <v>32767</v>
      </c>
      <c r="K12" s="13" t="s">
        <v>11</v>
      </c>
      <c r="L12" s="13"/>
      <c r="M12" s="18" t="s">
        <v>2246</v>
      </c>
    </row>
    <row r="13" spans="1:13" x14ac:dyDescent="0.25">
      <c r="A13" s="13">
        <v>10</v>
      </c>
      <c r="B13" s="13">
        <f t="shared" si="0"/>
        <v>5011</v>
      </c>
      <c r="C13" s="2" t="str">
        <f t="shared" si="1"/>
        <v>I10</v>
      </c>
      <c r="D13" s="13" t="s">
        <v>179</v>
      </c>
      <c r="E13" s="13" t="s">
        <v>515</v>
      </c>
      <c r="F13" s="13" t="s">
        <v>1431</v>
      </c>
      <c r="G13" s="13" t="s">
        <v>0</v>
      </c>
      <c r="H13" s="13" t="s">
        <v>13</v>
      </c>
      <c r="I13" s="13">
        <v>-32768</v>
      </c>
      <c r="J13" s="13">
        <v>32767</v>
      </c>
      <c r="K13" s="13" t="s">
        <v>11</v>
      </c>
      <c r="L13" s="13"/>
      <c r="M13" s="18" t="s">
        <v>2246</v>
      </c>
    </row>
    <row r="14" spans="1:13" x14ac:dyDescent="0.25">
      <c r="A14" s="13">
        <v>11</v>
      </c>
      <c r="B14" s="13">
        <f t="shared" si="0"/>
        <v>5012</v>
      </c>
      <c r="C14" s="2" t="str">
        <f t="shared" si="1"/>
        <v>I11</v>
      </c>
      <c r="D14" s="13" t="s">
        <v>180</v>
      </c>
      <c r="E14" s="13" t="s">
        <v>516</v>
      </c>
      <c r="F14" s="13" t="s">
        <v>1432</v>
      </c>
      <c r="G14" s="13" t="s">
        <v>0</v>
      </c>
      <c r="H14" s="13" t="s">
        <v>13</v>
      </c>
      <c r="I14" s="13">
        <v>-32768</v>
      </c>
      <c r="J14" s="13">
        <v>32767</v>
      </c>
      <c r="K14" s="13" t="s">
        <v>11</v>
      </c>
      <c r="L14" s="13"/>
      <c r="M14" s="18" t="s">
        <v>2246</v>
      </c>
    </row>
    <row r="15" spans="1:13" x14ac:dyDescent="0.25">
      <c r="A15" s="13">
        <v>12</v>
      </c>
      <c r="B15" s="13">
        <f t="shared" si="0"/>
        <v>5013</v>
      </c>
      <c r="C15" s="2" t="str">
        <f t="shared" si="1"/>
        <v>I12</v>
      </c>
      <c r="D15" s="13" t="s">
        <v>181</v>
      </c>
      <c r="E15" s="13" t="s">
        <v>517</v>
      </c>
      <c r="F15" s="13" t="s">
        <v>1433</v>
      </c>
      <c r="G15" s="13" t="s">
        <v>0</v>
      </c>
      <c r="H15" s="13" t="s">
        <v>13</v>
      </c>
      <c r="I15" s="13">
        <v>-32768</v>
      </c>
      <c r="J15" s="13">
        <v>32767</v>
      </c>
      <c r="K15" s="13" t="s">
        <v>11</v>
      </c>
      <c r="L15" s="13"/>
      <c r="M15" s="18" t="s">
        <v>2246</v>
      </c>
    </row>
    <row r="16" spans="1:13" x14ac:dyDescent="0.25">
      <c r="A16" s="13">
        <v>13</v>
      </c>
      <c r="B16" s="13">
        <f t="shared" si="0"/>
        <v>5014</v>
      </c>
      <c r="C16" s="2" t="str">
        <f t="shared" si="1"/>
        <v>I13</v>
      </c>
      <c r="D16" s="13" t="s">
        <v>182</v>
      </c>
      <c r="E16" s="13" t="s">
        <v>518</v>
      </c>
      <c r="F16" s="13" t="s">
        <v>1434</v>
      </c>
      <c r="G16" s="13" t="s">
        <v>0</v>
      </c>
      <c r="H16" s="13" t="s">
        <v>13</v>
      </c>
      <c r="I16" s="13">
        <v>-32768</v>
      </c>
      <c r="J16" s="13">
        <v>32767</v>
      </c>
      <c r="K16" s="13" t="s">
        <v>11</v>
      </c>
      <c r="L16" s="13"/>
      <c r="M16" s="18" t="s">
        <v>2246</v>
      </c>
    </row>
    <row r="17" spans="1:13" x14ac:dyDescent="0.25">
      <c r="A17" s="13">
        <v>14</v>
      </c>
      <c r="B17" s="13">
        <f t="shared" si="0"/>
        <v>5015</v>
      </c>
      <c r="C17" s="2" t="str">
        <f t="shared" si="1"/>
        <v>I14</v>
      </c>
      <c r="D17" s="13" t="s">
        <v>183</v>
      </c>
      <c r="E17" s="13" t="s">
        <v>519</v>
      </c>
      <c r="F17" s="13" t="s">
        <v>1435</v>
      </c>
      <c r="G17" s="13" t="s">
        <v>0</v>
      </c>
      <c r="H17" s="13" t="s">
        <v>13</v>
      </c>
      <c r="I17" s="13">
        <v>-32768</v>
      </c>
      <c r="J17" s="13">
        <v>32767</v>
      </c>
      <c r="K17" s="13" t="s">
        <v>11</v>
      </c>
      <c r="L17" s="13"/>
      <c r="M17" s="18" t="s">
        <v>2246</v>
      </c>
    </row>
    <row r="18" spans="1:13" x14ac:dyDescent="0.25">
      <c r="A18" s="13">
        <v>15</v>
      </c>
      <c r="B18" s="13">
        <f t="shared" si="0"/>
        <v>5016</v>
      </c>
      <c r="C18" s="2" t="str">
        <f t="shared" si="1"/>
        <v>I15</v>
      </c>
      <c r="D18" s="13" t="s">
        <v>184</v>
      </c>
      <c r="E18" s="13" t="s">
        <v>520</v>
      </c>
      <c r="F18" s="13" t="s">
        <v>1436</v>
      </c>
      <c r="G18" s="13" t="s">
        <v>0</v>
      </c>
      <c r="H18" s="13" t="s">
        <v>13</v>
      </c>
      <c r="I18" s="13">
        <v>-32768</v>
      </c>
      <c r="J18" s="13">
        <v>32767</v>
      </c>
      <c r="K18" s="13" t="s">
        <v>11</v>
      </c>
      <c r="L18" s="13"/>
      <c r="M18" s="18" t="s">
        <v>2246</v>
      </c>
    </row>
    <row r="19" spans="1:13" ht="21" x14ac:dyDescent="0.25">
      <c r="A19" s="13">
        <v>16</v>
      </c>
      <c r="B19" s="13">
        <f t="shared" si="0"/>
        <v>5017</v>
      </c>
      <c r="C19" s="2" t="str">
        <f t="shared" si="1"/>
        <v>I16</v>
      </c>
      <c r="D19" s="13" t="s">
        <v>185</v>
      </c>
      <c r="E19" s="13" t="s">
        <v>1440</v>
      </c>
      <c r="F19" s="13" t="s">
        <v>1437</v>
      </c>
      <c r="G19" s="13" t="s">
        <v>0</v>
      </c>
      <c r="H19" s="13" t="s">
        <v>13</v>
      </c>
      <c r="I19" s="13">
        <v>-32768</v>
      </c>
      <c r="J19" s="13">
        <v>32767</v>
      </c>
      <c r="K19" s="13" t="s">
        <v>11</v>
      </c>
      <c r="L19" s="13"/>
      <c r="M19" s="18" t="s">
        <v>2246</v>
      </c>
    </row>
    <row r="20" spans="1:13" ht="21" x14ac:dyDescent="0.25">
      <c r="A20" s="13">
        <v>18</v>
      </c>
      <c r="B20" s="13">
        <f t="shared" si="0"/>
        <v>5019</v>
      </c>
      <c r="C20" s="2" t="str">
        <f t="shared" si="1"/>
        <v>I18</v>
      </c>
      <c r="D20" s="13" t="s">
        <v>187</v>
      </c>
      <c r="E20" s="13" t="s">
        <v>521</v>
      </c>
      <c r="F20" s="13" t="s">
        <v>1438</v>
      </c>
      <c r="G20" s="13" t="s">
        <v>0</v>
      </c>
      <c r="H20" s="13" t="s">
        <v>186</v>
      </c>
      <c r="I20" s="13">
        <v>0</v>
      </c>
      <c r="J20" s="13">
        <v>32767</v>
      </c>
      <c r="K20" s="13" t="s">
        <v>11</v>
      </c>
      <c r="L20" s="13"/>
      <c r="M20" s="18" t="s">
        <v>2246</v>
      </c>
    </row>
    <row r="21" spans="1:13" ht="21" x14ac:dyDescent="0.25">
      <c r="A21" s="13">
        <v>19</v>
      </c>
      <c r="B21" s="13">
        <f t="shared" si="0"/>
        <v>5020</v>
      </c>
      <c r="C21" s="2" t="str">
        <f t="shared" si="1"/>
        <v>I19</v>
      </c>
      <c r="D21" s="13" t="s">
        <v>188</v>
      </c>
      <c r="E21" s="13" t="s">
        <v>522</v>
      </c>
      <c r="F21" s="13" t="s">
        <v>1439</v>
      </c>
      <c r="G21" s="13" t="s">
        <v>0</v>
      </c>
      <c r="H21" s="13" t="s">
        <v>186</v>
      </c>
      <c r="I21" s="13">
        <v>0</v>
      </c>
      <c r="J21" s="13">
        <v>32767</v>
      </c>
      <c r="K21" s="13" t="s">
        <v>11</v>
      </c>
      <c r="L21" s="13"/>
      <c r="M21" s="18" t="s">
        <v>2246</v>
      </c>
    </row>
    <row r="22" spans="1:13" ht="21" x14ac:dyDescent="0.25">
      <c r="A22" s="13">
        <v>20</v>
      </c>
      <c r="B22" s="13">
        <f t="shared" si="0"/>
        <v>5021</v>
      </c>
      <c r="C22" s="2" t="str">
        <f t="shared" si="1"/>
        <v>I20</v>
      </c>
      <c r="D22" s="13" t="s">
        <v>189</v>
      </c>
      <c r="E22" s="13" t="s">
        <v>521</v>
      </c>
      <c r="F22" s="13" t="s">
        <v>1438</v>
      </c>
      <c r="G22" s="13" t="s">
        <v>0</v>
      </c>
      <c r="H22" s="13" t="s">
        <v>186</v>
      </c>
      <c r="I22" s="13">
        <v>0</v>
      </c>
      <c r="J22" s="13">
        <v>32767</v>
      </c>
      <c r="K22" s="13" t="s">
        <v>11</v>
      </c>
      <c r="L22" s="13"/>
      <c r="M22" s="18" t="s">
        <v>2246</v>
      </c>
    </row>
    <row r="23" spans="1:13" ht="21" x14ac:dyDescent="0.25">
      <c r="A23" s="13">
        <v>21</v>
      </c>
      <c r="B23" s="13">
        <f t="shared" si="0"/>
        <v>5022</v>
      </c>
      <c r="C23" s="2" t="str">
        <f t="shared" si="1"/>
        <v>I21</v>
      </c>
      <c r="D23" s="13" t="s">
        <v>190</v>
      </c>
      <c r="E23" s="13" t="s">
        <v>521</v>
      </c>
      <c r="F23" s="13" t="s">
        <v>1438</v>
      </c>
      <c r="G23" s="13" t="s">
        <v>0</v>
      </c>
      <c r="H23" s="13" t="s">
        <v>186</v>
      </c>
      <c r="I23" s="13">
        <v>0</v>
      </c>
      <c r="J23" s="13">
        <v>32767</v>
      </c>
      <c r="K23" s="13" t="s">
        <v>11</v>
      </c>
      <c r="L23" s="13"/>
      <c r="M23" s="18" t="s">
        <v>2246</v>
      </c>
    </row>
    <row r="24" spans="1:13" ht="21" x14ac:dyDescent="0.25">
      <c r="A24" s="13">
        <v>22</v>
      </c>
      <c r="B24" s="13">
        <f t="shared" si="0"/>
        <v>5023</v>
      </c>
      <c r="C24" s="2" t="str">
        <f t="shared" si="1"/>
        <v>I22</v>
      </c>
      <c r="D24" s="13" t="s">
        <v>191</v>
      </c>
      <c r="E24" s="13" t="s">
        <v>521</v>
      </c>
      <c r="F24" s="13" t="s">
        <v>1438</v>
      </c>
      <c r="G24" s="13" t="s">
        <v>0</v>
      </c>
      <c r="H24" s="13" t="s">
        <v>186</v>
      </c>
      <c r="I24" s="13">
        <v>0</v>
      </c>
      <c r="J24" s="13">
        <v>32767</v>
      </c>
      <c r="K24" s="13" t="s">
        <v>11</v>
      </c>
      <c r="L24" s="13"/>
      <c r="M24" s="18" t="s">
        <v>2246</v>
      </c>
    </row>
    <row r="25" spans="1:13" ht="21" x14ac:dyDescent="0.25">
      <c r="A25" s="13">
        <v>23</v>
      </c>
      <c r="B25" s="13">
        <f t="shared" si="0"/>
        <v>5024</v>
      </c>
      <c r="C25" s="2" t="str">
        <f t="shared" si="1"/>
        <v>I23</v>
      </c>
      <c r="D25" s="13" t="s">
        <v>192</v>
      </c>
      <c r="E25" s="13" t="s">
        <v>521</v>
      </c>
      <c r="F25" s="13" t="s">
        <v>1438</v>
      </c>
      <c r="G25" s="13" t="s">
        <v>0</v>
      </c>
      <c r="H25" s="13" t="s">
        <v>186</v>
      </c>
      <c r="I25" s="13">
        <v>0</v>
      </c>
      <c r="J25" s="13">
        <v>32767</v>
      </c>
      <c r="K25" s="13" t="s">
        <v>11</v>
      </c>
      <c r="L25" s="13"/>
      <c r="M25" s="18" t="s">
        <v>2246</v>
      </c>
    </row>
    <row r="26" spans="1:13" ht="21" x14ac:dyDescent="0.25">
      <c r="A26" s="13">
        <v>24</v>
      </c>
      <c r="B26" s="13">
        <f t="shared" si="0"/>
        <v>5025</v>
      </c>
      <c r="C26" s="2" t="str">
        <f t="shared" si="1"/>
        <v>I24</v>
      </c>
      <c r="D26" s="13" t="s">
        <v>193</v>
      </c>
      <c r="E26" s="13" t="s">
        <v>521</v>
      </c>
      <c r="F26" s="13" t="s">
        <v>1438</v>
      </c>
      <c r="G26" s="13" t="s">
        <v>0</v>
      </c>
      <c r="H26" s="13" t="s">
        <v>186</v>
      </c>
      <c r="I26" s="13">
        <v>0</v>
      </c>
      <c r="J26" s="13">
        <v>32767</v>
      </c>
      <c r="K26" s="13" t="s">
        <v>11</v>
      </c>
      <c r="L26" s="13"/>
      <c r="M26" s="18" t="s">
        <v>2246</v>
      </c>
    </row>
    <row r="27" spans="1:13" ht="21" x14ac:dyDescent="0.25">
      <c r="A27" s="13">
        <v>25</v>
      </c>
      <c r="B27" s="13">
        <f t="shared" si="0"/>
        <v>5026</v>
      </c>
      <c r="C27" s="2" t="str">
        <f t="shared" si="1"/>
        <v>I25</v>
      </c>
      <c r="D27" s="13" t="s">
        <v>194</v>
      </c>
      <c r="E27" s="13" t="s">
        <v>523</v>
      </c>
      <c r="F27" s="13" t="s">
        <v>819</v>
      </c>
      <c r="G27" s="13" t="s">
        <v>0</v>
      </c>
      <c r="H27" s="13" t="s">
        <v>13</v>
      </c>
      <c r="I27" s="13">
        <v>0</v>
      </c>
      <c r="J27" s="13">
        <v>32767</v>
      </c>
      <c r="K27" s="13" t="s">
        <v>16</v>
      </c>
      <c r="L27" s="13"/>
      <c r="M27" s="18" t="s">
        <v>2247</v>
      </c>
    </row>
    <row r="28" spans="1:13" ht="21" x14ac:dyDescent="0.25">
      <c r="A28" s="13">
        <v>26</v>
      </c>
      <c r="B28" s="13">
        <f t="shared" si="0"/>
        <v>5027</v>
      </c>
      <c r="C28" s="2" t="str">
        <f t="shared" si="1"/>
        <v>I26</v>
      </c>
      <c r="D28" s="13" t="s">
        <v>195</v>
      </c>
      <c r="E28" s="13" t="s">
        <v>524</v>
      </c>
      <c r="F28" s="13" t="s">
        <v>820</v>
      </c>
      <c r="G28" s="13" t="s">
        <v>0</v>
      </c>
      <c r="H28" s="13" t="s">
        <v>13</v>
      </c>
      <c r="I28" s="13">
        <v>0</v>
      </c>
      <c r="J28" s="13">
        <v>32767</v>
      </c>
      <c r="K28" s="13" t="s">
        <v>16</v>
      </c>
      <c r="L28" s="13"/>
      <c r="M28" s="18" t="s">
        <v>2247</v>
      </c>
    </row>
    <row r="29" spans="1:13" ht="21" x14ac:dyDescent="0.25">
      <c r="A29" s="13">
        <v>27</v>
      </c>
      <c r="B29" s="13">
        <f t="shared" si="0"/>
        <v>5028</v>
      </c>
      <c r="C29" s="2" t="str">
        <f t="shared" si="1"/>
        <v>I27</v>
      </c>
      <c r="D29" s="13" t="s">
        <v>196</v>
      </c>
      <c r="E29" s="13" t="s">
        <v>525</v>
      </c>
      <c r="F29" s="13" t="s">
        <v>821</v>
      </c>
      <c r="G29" s="13" t="s">
        <v>0</v>
      </c>
      <c r="H29" s="13" t="s">
        <v>13</v>
      </c>
      <c r="I29" s="13">
        <v>0</v>
      </c>
      <c r="J29" s="13">
        <v>32767</v>
      </c>
      <c r="K29" s="13" t="s">
        <v>16</v>
      </c>
      <c r="L29" s="13"/>
      <c r="M29" s="18" t="s">
        <v>2247</v>
      </c>
    </row>
    <row r="30" spans="1:13" ht="21" x14ac:dyDescent="0.25">
      <c r="A30" s="13">
        <v>28</v>
      </c>
      <c r="B30" s="13">
        <f t="shared" si="0"/>
        <v>5029</v>
      </c>
      <c r="C30" s="2" t="str">
        <f t="shared" si="1"/>
        <v>I28</v>
      </c>
      <c r="D30" s="13" t="s">
        <v>197</v>
      </c>
      <c r="E30" s="13" t="s">
        <v>526</v>
      </c>
      <c r="F30" s="13" t="s">
        <v>822</v>
      </c>
      <c r="G30" s="13" t="s">
        <v>0</v>
      </c>
      <c r="H30" s="13" t="s">
        <v>13</v>
      </c>
      <c r="I30" s="13">
        <v>0</v>
      </c>
      <c r="J30" s="13">
        <v>32767</v>
      </c>
      <c r="K30" s="13" t="s">
        <v>16</v>
      </c>
      <c r="L30" s="13"/>
      <c r="M30" s="18" t="s">
        <v>2247</v>
      </c>
    </row>
    <row r="31" spans="1:13" ht="21" x14ac:dyDescent="0.25">
      <c r="A31" s="13">
        <v>29</v>
      </c>
      <c r="B31" s="13">
        <f t="shared" si="0"/>
        <v>5030</v>
      </c>
      <c r="C31" s="2" t="str">
        <f t="shared" si="1"/>
        <v>I29</v>
      </c>
      <c r="D31" s="13" t="s">
        <v>194</v>
      </c>
      <c r="E31" s="13" t="s">
        <v>527</v>
      </c>
      <c r="F31" s="13" t="s">
        <v>823</v>
      </c>
      <c r="G31" s="13" t="s">
        <v>0</v>
      </c>
      <c r="H31" s="13" t="s">
        <v>13</v>
      </c>
      <c r="I31" s="13">
        <v>0</v>
      </c>
      <c r="J31" s="13">
        <v>32767</v>
      </c>
      <c r="K31" s="13" t="s">
        <v>16</v>
      </c>
      <c r="L31" s="13"/>
      <c r="M31" s="18" t="s">
        <v>2247</v>
      </c>
    </row>
    <row r="32" spans="1:13" ht="21" x14ac:dyDescent="0.25">
      <c r="A32" s="13">
        <v>30</v>
      </c>
      <c r="B32" s="13">
        <f t="shared" si="0"/>
        <v>5031</v>
      </c>
      <c r="C32" s="2" t="str">
        <f t="shared" si="1"/>
        <v>I30</v>
      </c>
      <c r="D32" s="13" t="s">
        <v>195</v>
      </c>
      <c r="E32" s="13" t="s">
        <v>528</v>
      </c>
      <c r="F32" s="13" t="s">
        <v>824</v>
      </c>
      <c r="G32" s="13" t="s">
        <v>0</v>
      </c>
      <c r="H32" s="13" t="s">
        <v>13</v>
      </c>
      <c r="I32" s="13">
        <v>0</v>
      </c>
      <c r="J32" s="13">
        <v>32767</v>
      </c>
      <c r="K32" s="13" t="s">
        <v>16</v>
      </c>
      <c r="L32" s="13"/>
      <c r="M32" s="18" t="s">
        <v>2247</v>
      </c>
    </row>
    <row r="33" spans="1:13" ht="21" x14ac:dyDescent="0.25">
      <c r="A33" s="13">
        <v>31</v>
      </c>
      <c r="B33" s="13">
        <f t="shared" si="0"/>
        <v>5032</v>
      </c>
      <c r="C33" s="2" t="str">
        <f t="shared" si="1"/>
        <v>I31</v>
      </c>
      <c r="D33" s="13" t="s">
        <v>196</v>
      </c>
      <c r="E33" s="13" t="s">
        <v>529</v>
      </c>
      <c r="F33" s="13" t="s">
        <v>825</v>
      </c>
      <c r="G33" s="13" t="s">
        <v>0</v>
      </c>
      <c r="H33" s="13" t="s">
        <v>13</v>
      </c>
      <c r="I33" s="13">
        <v>0</v>
      </c>
      <c r="J33" s="13">
        <v>32767</v>
      </c>
      <c r="K33" s="13" t="s">
        <v>16</v>
      </c>
      <c r="L33" s="13"/>
      <c r="M33" s="18" t="s">
        <v>2247</v>
      </c>
    </row>
    <row r="34" spans="1:13" ht="21" x14ac:dyDescent="0.25">
      <c r="A34" s="13">
        <v>32</v>
      </c>
      <c r="B34" s="13">
        <f t="shared" si="0"/>
        <v>5033</v>
      </c>
      <c r="C34" s="2" t="str">
        <f t="shared" si="1"/>
        <v>I32</v>
      </c>
      <c r="D34" s="13" t="s">
        <v>197</v>
      </c>
      <c r="E34" s="13" t="s">
        <v>530</v>
      </c>
      <c r="F34" s="13" t="s">
        <v>826</v>
      </c>
      <c r="G34" s="13" t="s">
        <v>0</v>
      </c>
      <c r="H34" s="13" t="s">
        <v>13</v>
      </c>
      <c r="I34" s="13">
        <v>0</v>
      </c>
      <c r="J34" s="13">
        <v>32767</v>
      </c>
      <c r="K34" s="13" t="s">
        <v>16</v>
      </c>
      <c r="L34" s="13"/>
      <c r="M34" s="18" t="s">
        <v>2247</v>
      </c>
    </row>
    <row r="35" spans="1:13" ht="21" x14ac:dyDescent="0.25">
      <c r="A35" s="13">
        <v>36</v>
      </c>
      <c r="B35" s="13">
        <f t="shared" si="0"/>
        <v>5037</v>
      </c>
      <c r="C35" s="2" t="str">
        <f t="shared" si="1"/>
        <v>I36</v>
      </c>
      <c r="D35" s="13" t="s">
        <v>827</v>
      </c>
      <c r="E35" s="13" t="s">
        <v>2103</v>
      </c>
      <c r="F35" s="13" t="s">
        <v>2104</v>
      </c>
      <c r="G35" s="13" t="s">
        <v>0</v>
      </c>
      <c r="H35" s="13" t="s">
        <v>780</v>
      </c>
      <c r="I35" s="13">
        <v>0</v>
      </c>
      <c r="J35" s="13">
        <v>9999</v>
      </c>
      <c r="K35" s="13" t="s">
        <v>11</v>
      </c>
      <c r="L35" s="13"/>
      <c r="M35" s="18" t="s">
        <v>2246</v>
      </c>
    </row>
    <row r="36" spans="1:13" ht="13.15" customHeight="1" x14ac:dyDescent="0.25">
      <c r="A36" s="13">
        <v>37</v>
      </c>
      <c r="B36" s="13">
        <f t="shared" si="0"/>
        <v>5038</v>
      </c>
      <c r="C36" s="2" t="str">
        <f t="shared" si="1"/>
        <v>I37</v>
      </c>
      <c r="D36" s="13" t="s">
        <v>828</v>
      </c>
      <c r="E36" s="13" t="s">
        <v>2105</v>
      </c>
      <c r="F36" s="13" t="s">
        <v>2106</v>
      </c>
      <c r="G36" s="13" t="s">
        <v>0</v>
      </c>
      <c r="H36" s="13" t="s">
        <v>13</v>
      </c>
      <c r="I36" s="13">
        <v>1</v>
      </c>
      <c r="J36" s="13">
        <v>100</v>
      </c>
      <c r="K36" s="13" t="s">
        <v>11</v>
      </c>
      <c r="L36" s="13"/>
      <c r="M36" s="18" t="s">
        <v>2246</v>
      </c>
    </row>
    <row r="37" spans="1:13" ht="21" x14ac:dyDescent="0.25">
      <c r="A37" s="13">
        <v>38</v>
      </c>
      <c r="B37" s="13">
        <f t="shared" si="0"/>
        <v>5039</v>
      </c>
      <c r="C37" s="2" t="str">
        <f t="shared" si="1"/>
        <v>I38</v>
      </c>
      <c r="D37" s="13" t="s">
        <v>829</v>
      </c>
      <c r="E37" s="13" t="s">
        <v>2107</v>
      </c>
      <c r="F37" s="13" t="s">
        <v>2108</v>
      </c>
      <c r="G37" s="13" t="s">
        <v>0</v>
      </c>
      <c r="H37" s="13" t="s">
        <v>780</v>
      </c>
      <c r="I37" s="13">
        <v>0</v>
      </c>
      <c r="J37" s="13">
        <v>9999</v>
      </c>
      <c r="K37" s="13" t="s">
        <v>11</v>
      </c>
      <c r="L37" s="13"/>
      <c r="M37" s="18" t="s">
        <v>2246</v>
      </c>
    </row>
    <row r="38" spans="1:13" ht="21" x14ac:dyDescent="0.25">
      <c r="A38" s="13">
        <v>39</v>
      </c>
      <c r="B38" s="13">
        <f t="shared" si="0"/>
        <v>5040</v>
      </c>
      <c r="C38" s="2" t="str">
        <f t="shared" si="1"/>
        <v>I39</v>
      </c>
      <c r="D38" s="13" t="s">
        <v>830</v>
      </c>
      <c r="E38" s="13" t="s">
        <v>2110</v>
      </c>
      <c r="F38" s="13" t="s">
        <v>2109</v>
      </c>
      <c r="G38" s="13" t="s">
        <v>0</v>
      </c>
      <c r="H38" s="13" t="s">
        <v>13</v>
      </c>
      <c r="I38" s="13">
        <v>1</v>
      </c>
      <c r="J38" s="13">
        <v>100</v>
      </c>
      <c r="K38" s="13" t="s">
        <v>11</v>
      </c>
      <c r="L38" s="13"/>
      <c r="M38" s="18" t="s">
        <v>2246</v>
      </c>
    </row>
    <row r="39" spans="1:13" x14ac:dyDescent="0.25">
      <c r="A39" s="13">
        <v>47</v>
      </c>
      <c r="B39" s="13">
        <f t="shared" si="0"/>
        <v>5048</v>
      </c>
      <c r="C39" s="2" t="str">
        <f t="shared" si="1"/>
        <v>I47</v>
      </c>
      <c r="D39" s="13" t="s">
        <v>198</v>
      </c>
      <c r="E39" s="13" t="s">
        <v>531</v>
      </c>
      <c r="F39" s="13" t="s">
        <v>1442</v>
      </c>
      <c r="G39" s="13" t="s">
        <v>0</v>
      </c>
      <c r="H39" s="13" t="s">
        <v>13</v>
      </c>
      <c r="I39" s="13">
        <v>0</v>
      </c>
      <c r="J39" s="13">
        <v>999</v>
      </c>
      <c r="K39" s="13" t="s">
        <v>16</v>
      </c>
      <c r="L39" s="13"/>
      <c r="M39" s="18" t="s">
        <v>2247</v>
      </c>
    </row>
    <row r="40" spans="1:13" x14ac:dyDescent="0.25">
      <c r="A40" s="13">
        <v>48</v>
      </c>
      <c r="B40" s="13">
        <f t="shared" si="0"/>
        <v>5049</v>
      </c>
      <c r="C40" s="2" t="str">
        <f t="shared" si="1"/>
        <v>I48</v>
      </c>
      <c r="D40" s="13" t="s">
        <v>199</v>
      </c>
      <c r="E40" s="13" t="s">
        <v>532</v>
      </c>
      <c r="F40" s="13" t="s">
        <v>1443</v>
      </c>
      <c r="G40" s="13" t="s">
        <v>0</v>
      </c>
      <c r="H40" s="13" t="s">
        <v>13</v>
      </c>
      <c r="I40" s="13">
        <v>0</v>
      </c>
      <c r="J40" s="13">
        <v>999</v>
      </c>
      <c r="K40" s="13" t="s">
        <v>16</v>
      </c>
      <c r="L40" s="13"/>
      <c r="M40" s="18" t="s">
        <v>2247</v>
      </c>
    </row>
    <row r="41" spans="1:13" x14ac:dyDescent="0.25">
      <c r="A41" s="13">
        <v>49</v>
      </c>
      <c r="B41" s="13">
        <f t="shared" si="0"/>
        <v>5050</v>
      </c>
      <c r="C41" s="2" t="str">
        <f t="shared" si="1"/>
        <v>I49</v>
      </c>
      <c r="D41" s="13" t="s">
        <v>200</v>
      </c>
      <c r="E41" s="13" t="s">
        <v>533</v>
      </c>
      <c r="F41" s="13" t="s">
        <v>1444</v>
      </c>
      <c r="G41" s="13" t="s">
        <v>0</v>
      </c>
      <c r="H41" s="13" t="s">
        <v>13</v>
      </c>
      <c r="I41" s="13">
        <v>0</v>
      </c>
      <c r="J41" s="13">
        <v>999</v>
      </c>
      <c r="K41" s="13" t="s">
        <v>16</v>
      </c>
      <c r="L41" s="13"/>
      <c r="M41" s="18" t="s">
        <v>2247</v>
      </c>
    </row>
    <row r="42" spans="1:13" x14ac:dyDescent="0.25">
      <c r="A42" s="13">
        <v>50</v>
      </c>
      <c r="B42" s="13">
        <f t="shared" si="0"/>
        <v>5051</v>
      </c>
      <c r="C42" s="2" t="str">
        <f t="shared" si="1"/>
        <v>I50</v>
      </c>
      <c r="D42" s="13" t="s">
        <v>201</v>
      </c>
      <c r="E42" s="13" t="s">
        <v>534</v>
      </c>
      <c r="F42" s="13" t="s">
        <v>1445</v>
      </c>
      <c r="G42" s="13" t="s">
        <v>0</v>
      </c>
      <c r="H42" s="13" t="s">
        <v>13</v>
      </c>
      <c r="I42" s="13">
        <v>0</v>
      </c>
      <c r="J42" s="13">
        <v>999</v>
      </c>
      <c r="K42" s="13" t="s">
        <v>16</v>
      </c>
      <c r="L42" s="13"/>
      <c r="M42" s="18" t="s">
        <v>2247</v>
      </c>
    </row>
    <row r="43" spans="1:13" ht="21" x14ac:dyDescent="0.25">
      <c r="A43" s="13">
        <v>51</v>
      </c>
      <c r="B43" s="13">
        <f t="shared" si="0"/>
        <v>5052</v>
      </c>
      <c r="C43" s="2" t="str">
        <f t="shared" si="1"/>
        <v>I51</v>
      </c>
      <c r="D43" s="13" t="s">
        <v>202</v>
      </c>
      <c r="E43" s="13" t="s">
        <v>535</v>
      </c>
      <c r="F43" s="13" t="s">
        <v>1441</v>
      </c>
      <c r="G43" s="13" t="s">
        <v>0</v>
      </c>
      <c r="H43" s="13" t="s">
        <v>13</v>
      </c>
      <c r="I43" s="13">
        <v>0</v>
      </c>
      <c r="J43" s="13">
        <v>999</v>
      </c>
      <c r="K43" s="13" t="s">
        <v>16</v>
      </c>
      <c r="L43" s="13"/>
      <c r="M43" s="18" t="s">
        <v>2247</v>
      </c>
    </row>
    <row r="44" spans="1:13" x14ac:dyDescent="0.25">
      <c r="A44" s="13">
        <v>52</v>
      </c>
      <c r="B44" s="13">
        <f t="shared" si="0"/>
        <v>5053</v>
      </c>
      <c r="C44" s="2" t="str">
        <f t="shared" si="1"/>
        <v>I52</v>
      </c>
      <c r="D44" s="13" t="s">
        <v>203</v>
      </c>
      <c r="E44" s="13" t="s">
        <v>536</v>
      </c>
      <c r="F44" s="13" t="s">
        <v>1446</v>
      </c>
      <c r="G44" s="13" t="s">
        <v>0</v>
      </c>
      <c r="H44" s="13" t="s">
        <v>13</v>
      </c>
      <c r="I44" s="13">
        <v>0</v>
      </c>
      <c r="J44" s="13">
        <v>999</v>
      </c>
      <c r="K44" s="13" t="s">
        <v>16</v>
      </c>
      <c r="L44" s="13"/>
      <c r="M44" s="18" t="s">
        <v>2247</v>
      </c>
    </row>
    <row r="45" spans="1:13" x14ac:dyDescent="0.25">
      <c r="A45" s="13">
        <v>53</v>
      </c>
      <c r="B45" s="13">
        <f t="shared" si="0"/>
        <v>5054</v>
      </c>
      <c r="C45" s="2" t="str">
        <f t="shared" si="1"/>
        <v>I53</v>
      </c>
      <c r="D45" s="13" t="s">
        <v>204</v>
      </c>
      <c r="E45" s="13" t="s">
        <v>537</v>
      </c>
      <c r="F45" s="13" t="s">
        <v>1447</v>
      </c>
      <c r="G45" s="13" t="s">
        <v>0</v>
      </c>
      <c r="H45" s="13" t="s">
        <v>13</v>
      </c>
      <c r="I45" s="13">
        <v>0</v>
      </c>
      <c r="J45" s="13">
        <v>999</v>
      </c>
      <c r="K45" s="13" t="s">
        <v>16</v>
      </c>
      <c r="L45" s="13"/>
      <c r="M45" s="18" t="s">
        <v>2247</v>
      </c>
    </row>
    <row r="46" spans="1:13" ht="21" x14ac:dyDescent="0.25">
      <c r="A46" s="13">
        <v>54</v>
      </c>
      <c r="B46" s="13">
        <f t="shared" si="0"/>
        <v>5055</v>
      </c>
      <c r="C46" s="2" t="str">
        <f t="shared" si="1"/>
        <v>I54</v>
      </c>
      <c r="D46" s="13" t="s">
        <v>205</v>
      </c>
      <c r="E46" s="13" t="s">
        <v>2024</v>
      </c>
      <c r="F46" s="13" t="s">
        <v>2268</v>
      </c>
      <c r="G46" s="13" t="s">
        <v>0</v>
      </c>
      <c r="H46" s="13" t="s">
        <v>13</v>
      </c>
      <c r="I46" s="13">
        <v>0</v>
      </c>
      <c r="J46" s="13">
        <v>1000</v>
      </c>
      <c r="K46" s="13" t="s">
        <v>16</v>
      </c>
      <c r="L46" s="13" t="s">
        <v>2269</v>
      </c>
      <c r="M46" s="18" t="s">
        <v>2247</v>
      </c>
    </row>
    <row r="47" spans="1:13" ht="52.5" x14ac:dyDescent="0.25">
      <c r="A47" s="13">
        <v>55</v>
      </c>
      <c r="B47" s="13">
        <f t="shared" si="0"/>
        <v>5056</v>
      </c>
      <c r="C47" s="2" t="str">
        <f t="shared" si="1"/>
        <v>I55</v>
      </c>
      <c r="D47" s="13" t="s">
        <v>206</v>
      </c>
      <c r="E47" s="13" t="s">
        <v>538</v>
      </c>
      <c r="F47" s="13" t="s">
        <v>831</v>
      </c>
      <c r="G47" s="13" t="s">
        <v>0</v>
      </c>
      <c r="H47" s="13" t="s">
        <v>13</v>
      </c>
      <c r="I47" s="13">
        <v>0</v>
      </c>
      <c r="J47" s="13">
        <v>7</v>
      </c>
      <c r="K47" s="13" t="s">
        <v>16</v>
      </c>
      <c r="L47" s="13"/>
      <c r="M47" s="18" t="s">
        <v>2246</v>
      </c>
    </row>
    <row r="48" spans="1:13" x14ac:dyDescent="0.25">
      <c r="A48" s="13">
        <v>56</v>
      </c>
      <c r="B48" s="13">
        <f t="shared" si="0"/>
        <v>5057</v>
      </c>
      <c r="C48" s="2" t="str">
        <f t="shared" si="1"/>
        <v>I56</v>
      </c>
      <c r="D48" s="13" t="s">
        <v>208</v>
      </c>
      <c r="E48" s="13" t="s">
        <v>539</v>
      </c>
      <c r="F48" s="13" t="s">
        <v>832</v>
      </c>
      <c r="G48" s="13" t="s">
        <v>207</v>
      </c>
      <c r="H48" s="13" t="s">
        <v>13</v>
      </c>
      <c r="I48" s="13">
        <v>1</v>
      </c>
      <c r="J48" s="13">
        <v>31</v>
      </c>
      <c r="K48" s="13" t="s">
        <v>16</v>
      </c>
      <c r="L48" s="13"/>
      <c r="M48" s="18" t="s">
        <v>2246</v>
      </c>
    </row>
    <row r="49" spans="1:13" x14ac:dyDescent="0.25">
      <c r="A49" s="13">
        <v>57</v>
      </c>
      <c r="B49" s="13">
        <f t="shared" si="0"/>
        <v>5058</v>
      </c>
      <c r="C49" s="2" t="str">
        <f t="shared" si="1"/>
        <v>I57</v>
      </c>
      <c r="D49" s="13" t="s">
        <v>209</v>
      </c>
      <c r="E49" s="13" t="s">
        <v>453</v>
      </c>
      <c r="F49" s="13" t="s">
        <v>833</v>
      </c>
      <c r="G49" s="13" t="s">
        <v>207</v>
      </c>
      <c r="H49" s="13" t="s">
        <v>13</v>
      </c>
      <c r="I49" s="13">
        <v>1</v>
      </c>
      <c r="J49" s="13">
        <v>12</v>
      </c>
      <c r="K49" s="13" t="s">
        <v>16</v>
      </c>
      <c r="L49" s="13"/>
      <c r="M49" s="18" t="s">
        <v>2246</v>
      </c>
    </row>
    <row r="50" spans="1:13" x14ac:dyDescent="0.25">
      <c r="A50" s="13">
        <v>58</v>
      </c>
      <c r="B50" s="13">
        <f t="shared" si="0"/>
        <v>5059</v>
      </c>
      <c r="C50" s="2" t="str">
        <f t="shared" si="1"/>
        <v>I58</v>
      </c>
      <c r="D50" s="13" t="s">
        <v>210</v>
      </c>
      <c r="E50" s="13" t="s">
        <v>540</v>
      </c>
      <c r="F50" s="13" t="s">
        <v>834</v>
      </c>
      <c r="G50" s="13" t="s">
        <v>207</v>
      </c>
      <c r="H50" s="13" t="s">
        <v>13</v>
      </c>
      <c r="I50" s="13">
        <v>0</v>
      </c>
      <c r="J50" s="13">
        <v>99</v>
      </c>
      <c r="K50" s="13" t="s">
        <v>16</v>
      </c>
      <c r="L50" s="13"/>
      <c r="M50" s="18" t="s">
        <v>2246</v>
      </c>
    </row>
    <row r="51" spans="1:13" x14ac:dyDescent="0.25">
      <c r="A51" s="13">
        <v>59</v>
      </c>
      <c r="B51" s="13">
        <f t="shared" si="0"/>
        <v>5060</v>
      </c>
      <c r="C51" s="2" t="str">
        <f t="shared" si="1"/>
        <v>I59</v>
      </c>
      <c r="D51" s="13" t="s">
        <v>212</v>
      </c>
      <c r="E51" s="13" t="s">
        <v>541</v>
      </c>
      <c r="F51" s="13" t="s">
        <v>835</v>
      </c>
      <c r="G51" s="13" t="s">
        <v>207</v>
      </c>
      <c r="H51" s="13" t="s">
        <v>211</v>
      </c>
      <c r="I51" s="13">
        <v>0</v>
      </c>
      <c r="J51" s="13">
        <v>23</v>
      </c>
      <c r="K51" s="13" t="s">
        <v>16</v>
      </c>
      <c r="L51" s="13"/>
      <c r="M51" s="18" t="s">
        <v>2246</v>
      </c>
    </row>
    <row r="52" spans="1:13" x14ac:dyDescent="0.25">
      <c r="A52" s="13">
        <v>60</v>
      </c>
      <c r="B52" s="13">
        <f t="shared" si="0"/>
        <v>5061</v>
      </c>
      <c r="C52" s="2" t="str">
        <f t="shared" si="1"/>
        <v>I60</v>
      </c>
      <c r="D52" s="13" t="s">
        <v>213</v>
      </c>
      <c r="E52" s="13" t="s">
        <v>542</v>
      </c>
      <c r="F52" s="13" t="s">
        <v>836</v>
      </c>
      <c r="G52" s="13" t="s">
        <v>207</v>
      </c>
      <c r="H52" s="13" t="s">
        <v>13</v>
      </c>
      <c r="I52" s="13">
        <v>0</v>
      </c>
      <c r="J52" s="13">
        <v>59</v>
      </c>
      <c r="K52" s="13" t="s">
        <v>16</v>
      </c>
      <c r="L52" s="13"/>
      <c r="M52" s="18" t="s">
        <v>2246</v>
      </c>
    </row>
    <row r="53" spans="1:13" x14ac:dyDescent="0.25">
      <c r="A53" s="13">
        <v>61</v>
      </c>
      <c r="B53" s="13">
        <f t="shared" si="0"/>
        <v>5062</v>
      </c>
      <c r="C53" s="2" t="str">
        <f t="shared" si="1"/>
        <v>I61</v>
      </c>
      <c r="D53" s="13" t="s">
        <v>214</v>
      </c>
      <c r="E53" s="13" t="s">
        <v>543</v>
      </c>
      <c r="F53" s="13" t="s">
        <v>1448</v>
      </c>
      <c r="G53" s="13" t="s">
        <v>0</v>
      </c>
      <c r="H53" s="13" t="s">
        <v>13</v>
      </c>
      <c r="I53" s="13">
        <v>0</v>
      </c>
      <c r="J53" s="13">
        <v>24</v>
      </c>
      <c r="K53" s="13" t="s">
        <v>16</v>
      </c>
      <c r="L53" s="13"/>
      <c r="M53" s="18" t="s">
        <v>2246</v>
      </c>
    </row>
    <row r="54" spans="1:13" x14ac:dyDescent="0.25">
      <c r="A54" s="13">
        <v>62</v>
      </c>
      <c r="B54" s="13">
        <f t="shared" si="0"/>
        <v>5063</v>
      </c>
      <c r="C54" s="2" t="str">
        <f t="shared" si="1"/>
        <v>I62</v>
      </c>
      <c r="D54" s="13" t="s">
        <v>215</v>
      </c>
      <c r="E54" s="13" t="s">
        <v>544</v>
      </c>
      <c r="F54" s="13" t="s">
        <v>1455</v>
      </c>
      <c r="G54" s="13" t="s">
        <v>0</v>
      </c>
      <c r="H54" s="13" t="s">
        <v>13</v>
      </c>
      <c r="I54" s="13">
        <v>0</v>
      </c>
      <c r="J54" s="13">
        <v>60</v>
      </c>
      <c r="K54" s="13" t="s">
        <v>16</v>
      </c>
      <c r="L54" s="13"/>
      <c r="M54" s="18" t="s">
        <v>2246</v>
      </c>
    </row>
    <row r="55" spans="1:13" ht="21" x14ac:dyDescent="0.25">
      <c r="A55" s="13">
        <v>63</v>
      </c>
      <c r="B55" s="13">
        <f t="shared" si="0"/>
        <v>5064</v>
      </c>
      <c r="C55" s="2" t="str">
        <f t="shared" si="1"/>
        <v>I63</v>
      </c>
      <c r="D55" s="13" t="s">
        <v>217</v>
      </c>
      <c r="E55" s="13" t="s">
        <v>216</v>
      </c>
      <c r="F55" s="13" t="s">
        <v>1460</v>
      </c>
      <c r="G55" s="13" t="s">
        <v>45</v>
      </c>
      <c r="H55" s="13" t="s">
        <v>13</v>
      </c>
      <c r="I55" s="13">
        <v>0</v>
      </c>
      <c r="J55" s="13">
        <v>3</v>
      </c>
      <c r="K55" s="13" t="s">
        <v>16</v>
      </c>
      <c r="L55" s="13"/>
      <c r="M55" s="18" t="s">
        <v>2246</v>
      </c>
    </row>
    <row r="56" spans="1:13" x14ac:dyDescent="0.25">
      <c r="A56" s="13">
        <v>64</v>
      </c>
      <c r="B56" s="13">
        <f t="shared" si="0"/>
        <v>5065</v>
      </c>
      <c r="C56" s="2" t="str">
        <f t="shared" si="1"/>
        <v>I64</v>
      </c>
      <c r="D56" s="13" t="s">
        <v>218</v>
      </c>
      <c r="E56" s="13" t="s">
        <v>545</v>
      </c>
      <c r="F56" s="13" t="s">
        <v>1449</v>
      </c>
      <c r="G56" s="13" t="s">
        <v>0</v>
      </c>
      <c r="H56" s="13" t="s">
        <v>13</v>
      </c>
      <c r="I56" s="13">
        <v>0</v>
      </c>
      <c r="J56" s="13">
        <v>24</v>
      </c>
      <c r="K56" s="13" t="s">
        <v>16</v>
      </c>
      <c r="L56" s="13"/>
      <c r="M56" s="18" t="s">
        <v>2246</v>
      </c>
    </row>
    <row r="57" spans="1:13" x14ac:dyDescent="0.25">
      <c r="A57" s="13">
        <v>65</v>
      </c>
      <c r="B57" s="13">
        <f t="shared" si="0"/>
        <v>5066</v>
      </c>
      <c r="C57" s="2" t="str">
        <f t="shared" si="1"/>
        <v>I65</v>
      </c>
      <c r="D57" s="13" t="s">
        <v>219</v>
      </c>
      <c r="E57" s="13" t="s">
        <v>546</v>
      </c>
      <c r="F57" s="13" t="s">
        <v>1450</v>
      </c>
      <c r="G57" s="13" t="s">
        <v>0</v>
      </c>
      <c r="H57" s="13" t="s">
        <v>13</v>
      </c>
      <c r="I57" s="13">
        <v>0</v>
      </c>
      <c r="J57" s="13">
        <v>60</v>
      </c>
      <c r="K57" s="13" t="s">
        <v>16</v>
      </c>
      <c r="L57" s="13"/>
      <c r="M57" s="18" t="s">
        <v>2246</v>
      </c>
    </row>
    <row r="58" spans="1:13" ht="21" x14ac:dyDescent="0.25">
      <c r="A58" s="13">
        <v>66</v>
      </c>
      <c r="B58" s="13">
        <f t="shared" ref="B58:B95" si="2">A58+5001</f>
        <v>5067</v>
      </c>
      <c r="C58" s="2" t="str">
        <f t="shared" ref="C58:C95" si="3">"I"&amp;A58</f>
        <v>I66</v>
      </c>
      <c r="D58" s="13" t="s">
        <v>221</v>
      </c>
      <c r="E58" s="13" t="s">
        <v>220</v>
      </c>
      <c r="F58" s="13" t="s">
        <v>1461</v>
      </c>
      <c r="G58" s="13" t="s">
        <v>45</v>
      </c>
      <c r="H58" s="13" t="s">
        <v>13</v>
      </c>
      <c r="I58" s="13">
        <v>0</v>
      </c>
      <c r="J58" s="13">
        <v>3</v>
      </c>
      <c r="K58" s="13" t="s">
        <v>16</v>
      </c>
      <c r="L58" s="13"/>
      <c r="M58" s="18" t="s">
        <v>2246</v>
      </c>
    </row>
    <row r="59" spans="1:13" ht="21" x14ac:dyDescent="0.25">
      <c r="A59" s="13">
        <v>67</v>
      </c>
      <c r="B59" s="13">
        <f t="shared" si="2"/>
        <v>5068</v>
      </c>
      <c r="C59" s="2" t="str">
        <f t="shared" si="3"/>
        <v>I67</v>
      </c>
      <c r="D59" s="13" t="s">
        <v>223</v>
      </c>
      <c r="E59" s="13" t="s">
        <v>222</v>
      </c>
      <c r="F59" s="13" t="s">
        <v>1456</v>
      </c>
      <c r="G59" s="13" t="s">
        <v>45</v>
      </c>
      <c r="H59" s="13" t="s">
        <v>13</v>
      </c>
      <c r="I59" s="13">
        <v>0</v>
      </c>
      <c r="J59" s="13">
        <v>3</v>
      </c>
      <c r="K59" s="13" t="s">
        <v>16</v>
      </c>
      <c r="L59" s="13"/>
      <c r="M59" s="18" t="s">
        <v>2246</v>
      </c>
    </row>
    <row r="60" spans="1:13" ht="21" x14ac:dyDescent="0.25">
      <c r="A60" s="13">
        <v>68</v>
      </c>
      <c r="B60" s="13">
        <f t="shared" si="2"/>
        <v>5069</v>
      </c>
      <c r="C60" s="2" t="str">
        <f t="shared" si="3"/>
        <v>I68</v>
      </c>
      <c r="D60" s="13" t="s">
        <v>225</v>
      </c>
      <c r="E60" s="13" t="s">
        <v>224</v>
      </c>
      <c r="F60" s="13" t="s">
        <v>1457</v>
      </c>
      <c r="G60" s="13" t="s">
        <v>45</v>
      </c>
      <c r="H60" s="13" t="s">
        <v>13</v>
      </c>
      <c r="I60" s="13">
        <v>0</v>
      </c>
      <c r="J60" s="13">
        <v>3</v>
      </c>
      <c r="K60" s="13" t="s">
        <v>16</v>
      </c>
      <c r="L60" s="13"/>
      <c r="M60" s="18" t="s">
        <v>2246</v>
      </c>
    </row>
    <row r="61" spans="1:13" ht="42" x14ac:dyDescent="0.25">
      <c r="A61" s="13">
        <v>69</v>
      </c>
      <c r="B61" s="13">
        <f t="shared" si="2"/>
        <v>5070</v>
      </c>
      <c r="C61" s="2" t="str">
        <f t="shared" si="3"/>
        <v>I69</v>
      </c>
      <c r="D61" s="13" t="s">
        <v>226</v>
      </c>
      <c r="E61" s="13" t="s">
        <v>547</v>
      </c>
      <c r="F61" s="13" t="s">
        <v>1462</v>
      </c>
      <c r="G61" s="13" t="s">
        <v>45</v>
      </c>
      <c r="H61" s="13" t="s">
        <v>13</v>
      </c>
      <c r="I61" s="13">
        <v>0</v>
      </c>
      <c r="J61" s="13">
        <v>7</v>
      </c>
      <c r="K61" s="13" t="s">
        <v>16</v>
      </c>
      <c r="L61" s="13"/>
      <c r="M61" s="18" t="s">
        <v>2246</v>
      </c>
    </row>
    <row r="62" spans="1:13" x14ac:dyDescent="0.25">
      <c r="A62" s="13">
        <v>70</v>
      </c>
      <c r="B62" s="13">
        <f t="shared" si="2"/>
        <v>5071</v>
      </c>
      <c r="C62" s="2" t="str">
        <f t="shared" si="3"/>
        <v>I70</v>
      </c>
      <c r="D62" s="13" t="s">
        <v>228</v>
      </c>
      <c r="E62" s="13" t="s">
        <v>227</v>
      </c>
      <c r="F62" s="13" t="s">
        <v>1464</v>
      </c>
      <c r="G62" s="13" t="s">
        <v>0</v>
      </c>
      <c r="H62" s="13" t="s">
        <v>13</v>
      </c>
      <c r="I62" s="13">
        <v>0</v>
      </c>
      <c r="J62" s="13">
        <v>1</v>
      </c>
      <c r="K62" s="13" t="s">
        <v>16</v>
      </c>
      <c r="L62" s="13"/>
      <c r="M62" s="18" t="s">
        <v>2246</v>
      </c>
    </row>
    <row r="63" spans="1:13" ht="42" x14ac:dyDescent="0.25">
      <c r="A63" s="13">
        <v>71</v>
      </c>
      <c r="B63" s="13">
        <f t="shared" si="2"/>
        <v>5072</v>
      </c>
      <c r="C63" s="2" t="str">
        <f t="shared" si="3"/>
        <v>I71</v>
      </c>
      <c r="D63" s="13" t="s">
        <v>229</v>
      </c>
      <c r="E63" s="13" t="s">
        <v>548</v>
      </c>
      <c r="F63" s="13" t="s">
        <v>1463</v>
      </c>
      <c r="G63" s="13" t="s">
        <v>0</v>
      </c>
      <c r="H63" s="13" t="s">
        <v>13</v>
      </c>
      <c r="I63" s="13">
        <v>0</v>
      </c>
      <c r="J63" s="13">
        <v>7</v>
      </c>
      <c r="K63" s="13" t="s">
        <v>16</v>
      </c>
      <c r="L63" s="13"/>
      <c r="M63" s="18" t="s">
        <v>2246</v>
      </c>
    </row>
    <row r="64" spans="1:13" x14ac:dyDescent="0.25">
      <c r="A64" s="13">
        <v>72</v>
      </c>
      <c r="B64" s="13">
        <f t="shared" si="2"/>
        <v>5073</v>
      </c>
      <c r="C64" s="2" t="str">
        <f t="shared" si="3"/>
        <v>I72</v>
      </c>
      <c r="D64" s="13" t="s">
        <v>230</v>
      </c>
      <c r="E64" s="13" t="s">
        <v>549</v>
      </c>
      <c r="F64" s="13" t="s">
        <v>1451</v>
      </c>
      <c r="G64" s="13" t="s">
        <v>0</v>
      </c>
      <c r="H64" s="13" t="s">
        <v>13</v>
      </c>
      <c r="I64" s="13">
        <v>0</v>
      </c>
      <c r="J64" s="13">
        <v>24</v>
      </c>
      <c r="K64" s="13" t="s">
        <v>16</v>
      </c>
      <c r="L64" s="13"/>
      <c r="M64" s="18" t="s">
        <v>2246</v>
      </c>
    </row>
    <row r="65" spans="1:14" x14ac:dyDescent="0.25">
      <c r="A65" s="13">
        <v>73</v>
      </c>
      <c r="B65" s="13">
        <f t="shared" si="2"/>
        <v>5074</v>
      </c>
      <c r="C65" s="2" t="str">
        <f t="shared" si="3"/>
        <v>I73</v>
      </c>
      <c r="D65" s="13" t="s">
        <v>231</v>
      </c>
      <c r="E65" s="13" t="s">
        <v>550</v>
      </c>
      <c r="F65" s="13" t="s">
        <v>1452</v>
      </c>
      <c r="G65" s="13" t="s">
        <v>0</v>
      </c>
      <c r="H65" s="13" t="s">
        <v>13</v>
      </c>
      <c r="I65" s="13">
        <v>0</v>
      </c>
      <c r="J65" s="13">
        <v>60</v>
      </c>
      <c r="K65" s="13" t="s">
        <v>16</v>
      </c>
      <c r="L65" s="13"/>
      <c r="M65" s="18" t="s">
        <v>2246</v>
      </c>
    </row>
    <row r="66" spans="1:14" x14ac:dyDescent="0.25">
      <c r="A66" s="13">
        <v>74</v>
      </c>
      <c r="B66" s="13">
        <f t="shared" si="2"/>
        <v>5075</v>
      </c>
      <c r="C66" s="2" t="str">
        <f t="shared" si="3"/>
        <v>I74</v>
      </c>
      <c r="D66" s="13" t="s">
        <v>232</v>
      </c>
      <c r="E66" s="13" t="s">
        <v>551</v>
      </c>
      <c r="F66" s="13" t="s">
        <v>1453</v>
      </c>
      <c r="G66" s="13" t="s">
        <v>0</v>
      </c>
      <c r="H66" s="13" t="s">
        <v>13</v>
      </c>
      <c r="I66" s="13">
        <v>0</v>
      </c>
      <c r="J66" s="13">
        <v>60</v>
      </c>
      <c r="K66" s="13" t="s">
        <v>16</v>
      </c>
      <c r="L66" s="13"/>
      <c r="M66" s="18" t="s">
        <v>2246</v>
      </c>
    </row>
    <row r="67" spans="1:14" x14ac:dyDescent="0.25">
      <c r="A67" s="13">
        <v>75</v>
      </c>
      <c r="B67" s="13">
        <f t="shared" si="2"/>
        <v>5076</v>
      </c>
      <c r="C67" s="2" t="str">
        <f t="shared" si="3"/>
        <v>I75</v>
      </c>
      <c r="D67" s="13" t="s">
        <v>233</v>
      </c>
      <c r="E67" s="13" t="s">
        <v>552</v>
      </c>
      <c r="F67" s="13" t="s">
        <v>1454</v>
      </c>
      <c r="G67" s="13" t="s">
        <v>0</v>
      </c>
      <c r="H67" s="13" t="s">
        <v>13</v>
      </c>
      <c r="I67" s="13">
        <v>0</v>
      </c>
      <c r="J67" s="13">
        <v>24</v>
      </c>
      <c r="K67" s="13" t="s">
        <v>16</v>
      </c>
      <c r="L67" s="13"/>
      <c r="M67" s="18" t="s">
        <v>2246</v>
      </c>
    </row>
    <row r="68" spans="1:14" ht="21" x14ac:dyDescent="0.25">
      <c r="A68" s="13">
        <v>76</v>
      </c>
      <c r="B68" s="13">
        <f t="shared" si="2"/>
        <v>5077</v>
      </c>
      <c r="C68" s="2" t="str">
        <f t="shared" si="3"/>
        <v>I76</v>
      </c>
      <c r="D68" s="13" t="s">
        <v>235</v>
      </c>
      <c r="E68" s="13" t="s">
        <v>234</v>
      </c>
      <c r="F68" s="13" t="s">
        <v>1458</v>
      </c>
      <c r="G68" s="13" t="s">
        <v>45</v>
      </c>
      <c r="H68" s="13" t="s">
        <v>13</v>
      </c>
      <c r="I68" s="13">
        <v>0</v>
      </c>
      <c r="J68" s="13">
        <v>3</v>
      </c>
      <c r="K68" s="13" t="s">
        <v>16</v>
      </c>
      <c r="L68" s="13"/>
      <c r="M68" s="18" t="s">
        <v>2246</v>
      </c>
    </row>
    <row r="69" spans="1:14" ht="21" x14ac:dyDescent="0.25">
      <c r="A69" s="13">
        <v>77</v>
      </c>
      <c r="B69" s="13">
        <f t="shared" si="2"/>
        <v>5078</v>
      </c>
      <c r="C69" s="2" t="str">
        <f t="shared" si="3"/>
        <v>I77</v>
      </c>
      <c r="D69" s="13" t="s">
        <v>237</v>
      </c>
      <c r="E69" s="13" t="s">
        <v>236</v>
      </c>
      <c r="F69" s="13" t="s">
        <v>1459</v>
      </c>
      <c r="G69" s="13" t="s">
        <v>45</v>
      </c>
      <c r="H69" s="13" t="s">
        <v>13</v>
      </c>
      <c r="I69" s="13">
        <v>0</v>
      </c>
      <c r="J69" s="13">
        <v>3</v>
      </c>
      <c r="K69" s="13" t="s">
        <v>16</v>
      </c>
      <c r="L69" s="13"/>
      <c r="M69" s="18" t="s">
        <v>2246</v>
      </c>
    </row>
    <row r="70" spans="1:14" ht="21" x14ac:dyDescent="0.25">
      <c r="A70" s="13">
        <v>78</v>
      </c>
      <c r="B70" s="13">
        <f t="shared" si="2"/>
        <v>5079</v>
      </c>
      <c r="C70" s="2" t="str">
        <f t="shared" si="3"/>
        <v>I78</v>
      </c>
      <c r="D70" s="13" t="s">
        <v>239</v>
      </c>
      <c r="E70" s="13" t="s">
        <v>238</v>
      </c>
      <c r="F70" s="13" t="s">
        <v>1465</v>
      </c>
      <c r="G70" s="13" t="s">
        <v>45</v>
      </c>
      <c r="H70" s="13" t="s">
        <v>13</v>
      </c>
      <c r="I70" s="13">
        <v>0</v>
      </c>
      <c r="J70" s="13">
        <v>3</v>
      </c>
      <c r="K70" s="13" t="s">
        <v>16</v>
      </c>
      <c r="L70" s="13"/>
      <c r="M70" s="18" t="s">
        <v>2246</v>
      </c>
    </row>
    <row r="71" spans="1:14" ht="21" x14ac:dyDescent="0.25">
      <c r="A71" s="13">
        <v>79</v>
      </c>
      <c r="B71" s="13">
        <f t="shared" si="2"/>
        <v>5080</v>
      </c>
      <c r="C71" s="2" t="str">
        <f t="shared" si="3"/>
        <v>I79</v>
      </c>
      <c r="D71" s="13" t="s">
        <v>241</v>
      </c>
      <c r="E71" s="13" t="s">
        <v>240</v>
      </c>
      <c r="F71" s="13" t="s">
        <v>1466</v>
      </c>
      <c r="G71" s="13" t="s">
        <v>45</v>
      </c>
      <c r="H71" s="13" t="s">
        <v>13</v>
      </c>
      <c r="I71" s="13">
        <v>0</v>
      </c>
      <c r="J71" s="13">
        <v>3</v>
      </c>
      <c r="K71" s="13" t="s">
        <v>16</v>
      </c>
      <c r="L71" s="13"/>
      <c r="M71" s="18" t="s">
        <v>2246</v>
      </c>
    </row>
    <row r="72" spans="1:14" x14ac:dyDescent="0.25">
      <c r="A72" s="13">
        <v>80</v>
      </c>
      <c r="B72" s="13">
        <f t="shared" si="2"/>
        <v>5081</v>
      </c>
      <c r="C72" s="2" t="str">
        <f t="shared" si="3"/>
        <v>I80</v>
      </c>
      <c r="D72" s="13" t="s">
        <v>242</v>
      </c>
      <c r="E72" s="13" t="s">
        <v>1468</v>
      </c>
      <c r="F72" s="13" t="s">
        <v>837</v>
      </c>
      <c r="G72" s="13" t="s">
        <v>0</v>
      </c>
      <c r="H72" s="13" t="s">
        <v>13</v>
      </c>
      <c r="I72" s="13">
        <v>0</v>
      </c>
      <c r="J72" s="13">
        <v>3</v>
      </c>
      <c r="K72" s="13" t="s">
        <v>16</v>
      </c>
      <c r="L72" s="13"/>
      <c r="M72" s="18" t="s">
        <v>2246</v>
      </c>
    </row>
    <row r="73" spans="1:14" ht="21" x14ac:dyDescent="0.25">
      <c r="A73" s="13">
        <v>83</v>
      </c>
      <c r="B73" s="13">
        <f t="shared" si="2"/>
        <v>5084</v>
      </c>
      <c r="C73" s="2" t="str">
        <f t="shared" si="3"/>
        <v>I83</v>
      </c>
      <c r="D73" s="13" t="s">
        <v>243</v>
      </c>
      <c r="E73" s="13" t="s">
        <v>1469</v>
      </c>
      <c r="F73" s="13" t="s">
        <v>838</v>
      </c>
      <c r="G73" s="13" t="s">
        <v>46</v>
      </c>
      <c r="H73" s="13" t="s">
        <v>13</v>
      </c>
      <c r="I73" s="13">
        <v>1</v>
      </c>
      <c r="J73" s="13">
        <v>4</v>
      </c>
      <c r="K73" s="13" t="s">
        <v>16</v>
      </c>
      <c r="L73" s="13"/>
      <c r="M73" s="18" t="s">
        <v>2246</v>
      </c>
    </row>
    <row r="74" spans="1:14" ht="21" x14ac:dyDescent="0.25">
      <c r="A74" s="13">
        <v>84</v>
      </c>
      <c r="B74" s="13">
        <f t="shared" si="2"/>
        <v>5085</v>
      </c>
      <c r="C74" s="2" t="str">
        <f t="shared" si="3"/>
        <v>I84</v>
      </c>
      <c r="D74" s="13" t="s">
        <v>244</v>
      </c>
      <c r="E74" s="13" t="s">
        <v>1470</v>
      </c>
      <c r="F74" s="13" t="s">
        <v>839</v>
      </c>
      <c r="G74" s="13" t="s">
        <v>0</v>
      </c>
      <c r="H74" s="13" t="s">
        <v>8</v>
      </c>
      <c r="I74" s="13">
        <v>0</v>
      </c>
      <c r="J74" s="13">
        <v>32767</v>
      </c>
      <c r="K74" s="13" t="s">
        <v>11</v>
      </c>
      <c r="L74" s="13"/>
      <c r="M74" s="18" t="s">
        <v>2246</v>
      </c>
    </row>
    <row r="75" spans="1:14" ht="21" x14ac:dyDescent="0.25">
      <c r="A75" s="13">
        <v>85</v>
      </c>
      <c r="B75" s="13">
        <f t="shared" si="2"/>
        <v>5086</v>
      </c>
      <c r="C75" s="2" t="str">
        <f t="shared" si="3"/>
        <v>I85</v>
      </c>
      <c r="D75" s="13" t="s">
        <v>2266</v>
      </c>
      <c r="E75" s="13" t="s">
        <v>2113</v>
      </c>
      <c r="F75" s="13" t="s">
        <v>2114</v>
      </c>
      <c r="G75" s="13" t="s">
        <v>647</v>
      </c>
      <c r="H75" s="13" t="s">
        <v>780</v>
      </c>
      <c r="I75" s="13">
        <v>0</v>
      </c>
      <c r="J75" s="13">
        <v>9999</v>
      </c>
      <c r="K75" s="13" t="s">
        <v>16</v>
      </c>
      <c r="L75" s="13"/>
      <c r="M75" s="18" t="s">
        <v>2247</v>
      </c>
    </row>
    <row r="76" spans="1:14" x14ac:dyDescent="0.25">
      <c r="A76" s="13">
        <v>86</v>
      </c>
      <c r="B76" s="13">
        <f t="shared" si="2"/>
        <v>5087</v>
      </c>
      <c r="C76" s="2" t="str">
        <f t="shared" si="3"/>
        <v>I86</v>
      </c>
      <c r="D76" s="13" t="s">
        <v>840</v>
      </c>
      <c r="E76" s="13" t="s">
        <v>2112</v>
      </c>
      <c r="F76" s="13" t="s">
        <v>2115</v>
      </c>
      <c r="G76" s="13" t="s">
        <v>647</v>
      </c>
      <c r="H76" s="13" t="s">
        <v>13</v>
      </c>
      <c r="I76" s="13">
        <v>0</v>
      </c>
      <c r="J76" s="13">
        <v>20</v>
      </c>
      <c r="K76" s="13" t="s">
        <v>16</v>
      </c>
      <c r="L76" s="13"/>
      <c r="M76" s="18" t="s">
        <v>2247</v>
      </c>
    </row>
    <row r="77" spans="1:14" ht="21" x14ac:dyDescent="0.25">
      <c r="A77" s="13">
        <v>87</v>
      </c>
      <c r="B77" s="13">
        <f t="shared" si="2"/>
        <v>5088</v>
      </c>
      <c r="C77" s="2" t="str">
        <f t="shared" si="3"/>
        <v>I87</v>
      </c>
      <c r="D77" s="13" t="s">
        <v>841</v>
      </c>
      <c r="E77" s="13" t="s">
        <v>2116</v>
      </c>
      <c r="F77" s="13" t="s">
        <v>2117</v>
      </c>
      <c r="G77" s="13" t="s">
        <v>647</v>
      </c>
      <c r="H77" s="13" t="s">
        <v>780</v>
      </c>
      <c r="I77" s="13">
        <v>0</v>
      </c>
      <c r="J77" s="13">
        <v>9999</v>
      </c>
      <c r="K77" s="13" t="s">
        <v>16</v>
      </c>
      <c r="L77" s="13"/>
      <c r="M77" s="18" t="s">
        <v>2247</v>
      </c>
    </row>
    <row r="78" spans="1:14" x14ac:dyDescent="0.25">
      <c r="A78" s="13">
        <v>88</v>
      </c>
      <c r="B78" s="13">
        <f t="shared" si="2"/>
        <v>5089</v>
      </c>
      <c r="C78" s="2" t="str">
        <f t="shared" si="3"/>
        <v>I88</v>
      </c>
      <c r="D78" s="13" t="s">
        <v>842</v>
      </c>
      <c r="E78" s="13" t="s">
        <v>2111</v>
      </c>
      <c r="F78" s="13" t="s">
        <v>2118</v>
      </c>
      <c r="G78" s="13" t="s">
        <v>647</v>
      </c>
      <c r="H78" s="13" t="s">
        <v>13</v>
      </c>
      <c r="I78" s="13">
        <v>0</v>
      </c>
      <c r="J78" s="13">
        <v>20</v>
      </c>
      <c r="K78" s="13" t="s">
        <v>16</v>
      </c>
      <c r="L78" s="13"/>
      <c r="M78" s="18" t="s">
        <v>2247</v>
      </c>
    </row>
    <row r="79" spans="1:14" x14ac:dyDescent="0.25">
      <c r="A79" s="13">
        <v>91</v>
      </c>
      <c r="B79" s="13">
        <f t="shared" si="2"/>
        <v>5092</v>
      </c>
      <c r="C79" s="2" t="str">
        <f t="shared" si="3"/>
        <v>I91</v>
      </c>
      <c r="D79" s="13" t="s">
        <v>245</v>
      </c>
      <c r="E79" s="13" t="s">
        <v>1471</v>
      </c>
      <c r="F79" s="13" t="s">
        <v>1474</v>
      </c>
      <c r="G79" s="13" t="s">
        <v>0</v>
      </c>
      <c r="H79" s="13" t="s">
        <v>13</v>
      </c>
      <c r="I79" s="13">
        <v>-32768</v>
      </c>
      <c r="J79" s="13">
        <v>32767</v>
      </c>
      <c r="K79" s="13" t="s">
        <v>11</v>
      </c>
      <c r="L79" s="13"/>
      <c r="M79" s="18" t="s">
        <v>2246</v>
      </c>
      <c r="N79" s="35"/>
    </row>
    <row r="80" spans="1:14" x14ac:dyDescent="0.25">
      <c r="A80" s="13">
        <v>92</v>
      </c>
      <c r="B80" s="13">
        <f t="shared" si="2"/>
        <v>5093</v>
      </c>
      <c r="C80" s="2" t="str">
        <f t="shared" si="3"/>
        <v>I92</v>
      </c>
      <c r="D80" s="13" t="s">
        <v>246</v>
      </c>
      <c r="E80" s="13" t="s">
        <v>1472</v>
      </c>
      <c r="F80" s="13" t="s">
        <v>1475</v>
      </c>
      <c r="G80" s="13" t="s">
        <v>0</v>
      </c>
      <c r="H80" s="13" t="s">
        <v>13</v>
      </c>
      <c r="I80" s="13">
        <v>-32768</v>
      </c>
      <c r="J80" s="13">
        <v>32767</v>
      </c>
      <c r="K80" s="13" t="s">
        <v>11</v>
      </c>
      <c r="L80" s="13"/>
      <c r="M80" s="18" t="s">
        <v>2246</v>
      </c>
      <c r="N80" s="35"/>
    </row>
    <row r="81" spans="1:14" x14ac:dyDescent="0.25">
      <c r="A81" s="13">
        <v>93</v>
      </c>
      <c r="B81" s="13">
        <f t="shared" si="2"/>
        <v>5094</v>
      </c>
      <c r="C81" s="2" t="str">
        <f t="shared" si="3"/>
        <v>I93</v>
      </c>
      <c r="D81" s="13" t="s">
        <v>247</v>
      </c>
      <c r="E81" s="13" t="s">
        <v>1473</v>
      </c>
      <c r="F81" s="13" t="s">
        <v>1476</v>
      </c>
      <c r="G81" s="13" t="s">
        <v>0</v>
      </c>
      <c r="H81" s="13" t="s">
        <v>13</v>
      </c>
      <c r="I81" s="13">
        <v>-32768</v>
      </c>
      <c r="J81" s="13">
        <v>32767</v>
      </c>
      <c r="K81" s="13" t="s">
        <v>11</v>
      </c>
      <c r="L81" s="13"/>
      <c r="M81" s="18" t="s">
        <v>2246</v>
      </c>
    </row>
    <row r="82" spans="1:14" x14ac:dyDescent="0.25">
      <c r="A82" s="13">
        <v>109</v>
      </c>
      <c r="B82" s="13">
        <f t="shared" si="2"/>
        <v>5110</v>
      </c>
      <c r="C82" s="2" t="str">
        <f t="shared" si="3"/>
        <v>I109</v>
      </c>
      <c r="D82" s="13" t="s">
        <v>248</v>
      </c>
      <c r="E82" s="13" t="s">
        <v>553</v>
      </c>
      <c r="F82" s="13" t="s">
        <v>843</v>
      </c>
      <c r="G82" s="13" t="s">
        <v>0</v>
      </c>
      <c r="H82" s="13" t="s">
        <v>13</v>
      </c>
      <c r="I82" s="13">
        <v>1</v>
      </c>
      <c r="J82" s="13">
        <v>3</v>
      </c>
      <c r="K82" s="13" t="s">
        <v>11</v>
      </c>
      <c r="L82" s="13"/>
      <c r="M82" s="18" t="s">
        <v>2246</v>
      </c>
    </row>
    <row r="83" spans="1:14" x14ac:dyDescent="0.25">
      <c r="A83" s="13">
        <v>112</v>
      </c>
      <c r="B83" s="13">
        <f t="shared" si="2"/>
        <v>5113</v>
      </c>
      <c r="C83" s="2" t="str">
        <f t="shared" si="3"/>
        <v>I112</v>
      </c>
      <c r="D83" s="13" t="s">
        <v>249</v>
      </c>
      <c r="E83" s="13" t="s">
        <v>2273</v>
      </c>
      <c r="F83" s="13" t="s">
        <v>2270</v>
      </c>
      <c r="G83" s="13" t="s">
        <v>7</v>
      </c>
      <c r="H83" s="13" t="s">
        <v>13</v>
      </c>
      <c r="I83" s="13">
        <v>0</v>
      </c>
      <c r="J83" s="13">
        <v>9999</v>
      </c>
      <c r="K83" s="13" t="s">
        <v>11</v>
      </c>
      <c r="L83" s="13"/>
      <c r="M83" s="18" t="s">
        <v>2246</v>
      </c>
      <c r="N83" s="26"/>
    </row>
    <row r="84" spans="1:14" x14ac:dyDescent="0.25">
      <c r="A84" s="13">
        <v>113</v>
      </c>
      <c r="B84" s="13">
        <f t="shared" si="2"/>
        <v>5114</v>
      </c>
      <c r="C84" s="2" t="str">
        <f t="shared" si="3"/>
        <v>I113</v>
      </c>
      <c r="D84" s="13" t="s">
        <v>250</v>
      </c>
      <c r="E84" s="13" t="s">
        <v>2271</v>
      </c>
      <c r="F84" s="13" t="s">
        <v>2272</v>
      </c>
      <c r="G84" s="13" t="s">
        <v>0</v>
      </c>
      <c r="H84" s="13" t="s">
        <v>13</v>
      </c>
      <c r="I84" s="13">
        <v>0</v>
      </c>
      <c r="J84" s="13">
        <v>9999</v>
      </c>
      <c r="K84" s="13" t="s">
        <v>11</v>
      </c>
      <c r="L84" s="13"/>
      <c r="M84" s="18" t="s">
        <v>2246</v>
      </c>
      <c r="N84" s="26"/>
    </row>
    <row r="85" spans="1:14" ht="31.5" x14ac:dyDescent="0.25">
      <c r="A85" s="13">
        <v>114</v>
      </c>
      <c r="B85" s="13">
        <f t="shared" si="2"/>
        <v>5115</v>
      </c>
      <c r="C85" s="2" t="str">
        <f t="shared" si="3"/>
        <v>I114</v>
      </c>
      <c r="D85" s="13" t="s">
        <v>251</v>
      </c>
      <c r="E85" s="13" t="s">
        <v>554</v>
      </c>
      <c r="F85" s="13" t="s">
        <v>844</v>
      </c>
      <c r="G85" s="13" t="s">
        <v>0</v>
      </c>
      <c r="H85" s="13" t="s">
        <v>13</v>
      </c>
      <c r="I85" s="13">
        <v>-32768</v>
      </c>
      <c r="J85" s="13">
        <v>32767</v>
      </c>
      <c r="K85" s="13" t="s">
        <v>11</v>
      </c>
      <c r="L85" s="13"/>
      <c r="M85" s="18" t="s">
        <v>2660</v>
      </c>
    </row>
    <row r="86" spans="1:14" ht="31.5" x14ac:dyDescent="0.25">
      <c r="A86" s="13">
        <v>115</v>
      </c>
      <c r="B86" s="13">
        <f t="shared" si="2"/>
        <v>5116</v>
      </c>
      <c r="C86" s="2" t="str">
        <f t="shared" si="3"/>
        <v>I115</v>
      </c>
      <c r="D86" s="13" t="s">
        <v>252</v>
      </c>
      <c r="E86" s="13" t="s">
        <v>555</v>
      </c>
      <c r="F86" s="13" t="s">
        <v>844</v>
      </c>
      <c r="G86" s="13" t="s">
        <v>0</v>
      </c>
      <c r="H86" s="13" t="s">
        <v>13</v>
      </c>
      <c r="I86" s="13">
        <v>-32768</v>
      </c>
      <c r="J86" s="13">
        <v>32767</v>
      </c>
      <c r="K86" s="13" t="s">
        <v>11</v>
      </c>
      <c r="L86" s="13"/>
      <c r="M86" s="18" t="s">
        <v>2660</v>
      </c>
    </row>
    <row r="87" spans="1:14" ht="31.5" x14ac:dyDescent="0.25">
      <c r="A87" s="13">
        <v>116</v>
      </c>
      <c r="B87" s="13">
        <f t="shared" si="2"/>
        <v>5117</v>
      </c>
      <c r="C87" s="2" t="str">
        <f t="shared" si="3"/>
        <v>I116</v>
      </c>
      <c r="D87" s="13" t="s">
        <v>253</v>
      </c>
      <c r="E87" s="13" t="s">
        <v>556</v>
      </c>
      <c r="F87" s="13" t="s">
        <v>844</v>
      </c>
      <c r="G87" s="13" t="s">
        <v>0</v>
      </c>
      <c r="H87" s="13" t="s">
        <v>13</v>
      </c>
      <c r="I87" s="13">
        <v>-32768</v>
      </c>
      <c r="J87" s="13">
        <v>32767</v>
      </c>
      <c r="K87" s="13" t="s">
        <v>11</v>
      </c>
      <c r="L87" s="13"/>
      <c r="M87" s="18" t="s">
        <v>2660</v>
      </c>
    </row>
    <row r="88" spans="1:14" ht="31.5" x14ac:dyDescent="0.25">
      <c r="A88" s="13">
        <v>117</v>
      </c>
      <c r="B88" s="13">
        <f t="shared" si="2"/>
        <v>5118</v>
      </c>
      <c r="C88" s="2" t="str">
        <f t="shared" si="3"/>
        <v>I117</v>
      </c>
      <c r="D88" s="13" t="s">
        <v>254</v>
      </c>
      <c r="E88" s="13" t="s">
        <v>2141</v>
      </c>
      <c r="F88" s="13" t="s">
        <v>2119</v>
      </c>
      <c r="G88" s="13" t="s">
        <v>0</v>
      </c>
      <c r="H88" s="13" t="s">
        <v>2686</v>
      </c>
      <c r="I88" s="13">
        <v>0</v>
      </c>
      <c r="J88" s="13">
        <v>32767</v>
      </c>
      <c r="K88" s="13" t="s">
        <v>11</v>
      </c>
      <c r="L88" s="13"/>
      <c r="M88" s="18" t="s">
        <v>2660</v>
      </c>
    </row>
    <row r="89" spans="1:14" ht="31.5" x14ac:dyDescent="0.25">
      <c r="A89" s="13">
        <v>118</v>
      </c>
      <c r="B89" s="13">
        <f t="shared" si="2"/>
        <v>5119</v>
      </c>
      <c r="C89" s="2" t="str">
        <f t="shared" si="3"/>
        <v>I118</v>
      </c>
      <c r="D89" s="13" t="s">
        <v>255</v>
      </c>
      <c r="E89" s="13" t="s">
        <v>2142</v>
      </c>
      <c r="F89" s="13" t="s">
        <v>2120</v>
      </c>
      <c r="G89" s="13" t="s">
        <v>0</v>
      </c>
      <c r="H89" s="13" t="s">
        <v>2686</v>
      </c>
      <c r="I89" s="13">
        <v>0</v>
      </c>
      <c r="J89" s="13">
        <v>32767</v>
      </c>
      <c r="K89" s="13" t="s">
        <v>11</v>
      </c>
      <c r="L89" s="13"/>
      <c r="M89" s="18" t="s">
        <v>2660</v>
      </c>
    </row>
    <row r="90" spans="1:14" ht="31.5" x14ac:dyDescent="0.25">
      <c r="A90" s="13">
        <v>119</v>
      </c>
      <c r="B90" s="13">
        <f t="shared" si="2"/>
        <v>5120</v>
      </c>
      <c r="C90" s="2" t="str">
        <f t="shared" si="3"/>
        <v>I119</v>
      </c>
      <c r="D90" s="13" t="s">
        <v>256</v>
      </c>
      <c r="E90" s="13" t="s">
        <v>2143</v>
      </c>
      <c r="F90" s="13" t="s">
        <v>2121</v>
      </c>
      <c r="G90" s="13" t="s">
        <v>0</v>
      </c>
      <c r="H90" s="13" t="s">
        <v>2686</v>
      </c>
      <c r="I90" s="13">
        <v>0</v>
      </c>
      <c r="J90" s="13">
        <v>32767</v>
      </c>
      <c r="K90" s="13" t="s">
        <v>11</v>
      </c>
      <c r="L90" s="13"/>
      <c r="M90" s="18" t="s">
        <v>2660</v>
      </c>
    </row>
    <row r="91" spans="1:14" ht="31.5" x14ac:dyDescent="0.25">
      <c r="A91" s="13">
        <v>120</v>
      </c>
      <c r="B91" s="13">
        <f t="shared" si="2"/>
        <v>5121</v>
      </c>
      <c r="C91" s="2" t="str">
        <f t="shared" si="3"/>
        <v>I120</v>
      </c>
      <c r="D91" s="13" t="s">
        <v>257</v>
      </c>
      <c r="E91" s="13" t="s">
        <v>2144</v>
      </c>
      <c r="F91" s="13" t="s">
        <v>2122</v>
      </c>
      <c r="G91" s="13" t="s">
        <v>0</v>
      </c>
      <c r="H91" s="13" t="s">
        <v>2686</v>
      </c>
      <c r="I91" s="13">
        <v>0</v>
      </c>
      <c r="J91" s="13">
        <v>32767</v>
      </c>
      <c r="K91" s="13" t="s">
        <v>11</v>
      </c>
      <c r="L91" s="13"/>
      <c r="M91" s="18" t="s">
        <v>2660</v>
      </c>
    </row>
    <row r="92" spans="1:14" ht="31.5" x14ac:dyDescent="0.25">
      <c r="A92" s="13">
        <v>121</v>
      </c>
      <c r="B92" s="13">
        <f t="shared" si="2"/>
        <v>5122</v>
      </c>
      <c r="C92" s="2" t="str">
        <f t="shared" si="3"/>
        <v>I121</v>
      </c>
      <c r="D92" s="13" t="s">
        <v>258</v>
      </c>
      <c r="E92" s="13" t="s">
        <v>2145</v>
      </c>
      <c r="F92" s="13" t="s">
        <v>2123</v>
      </c>
      <c r="G92" s="13" t="s">
        <v>0</v>
      </c>
      <c r="H92" s="13" t="s">
        <v>2686</v>
      </c>
      <c r="I92" s="13">
        <v>0</v>
      </c>
      <c r="J92" s="13">
        <v>32767</v>
      </c>
      <c r="K92" s="13" t="s">
        <v>11</v>
      </c>
      <c r="L92" s="13"/>
      <c r="M92" s="18" t="s">
        <v>2660</v>
      </c>
    </row>
    <row r="93" spans="1:14" ht="31.5" x14ac:dyDescent="0.25">
      <c r="A93" s="13">
        <v>122</v>
      </c>
      <c r="B93" s="13">
        <f t="shared" si="2"/>
        <v>5123</v>
      </c>
      <c r="C93" s="2" t="str">
        <f t="shared" si="3"/>
        <v>I122</v>
      </c>
      <c r="D93" s="13" t="s">
        <v>259</v>
      </c>
      <c r="E93" s="13" t="s">
        <v>2146</v>
      </c>
      <c r="F93" s="13" t="s">
        <v>2124</v>
      </c>
      <c r="G93" s="13" t="s">
        <v>0</v>
      </c>
      <c r="H93" s="13" t="s">
        <v>2686</v>
      </c>
      <c r="I93" s="13">
        <v>0</v>
      </c>
      <c r="J93" s="13">
        <v>32767</v>
      </c>
      <c r="K93" s="13" t="s">
        <v>11</v>
      </c>
      <c r="L93" s="13"/>
      <c r="M93" s="18" t="s">
        <v>2660</v>
      </c>
    </row>
    <row r="94" spans="1:14" ht="31.5" x14ac:dyDescent="0.25">
      <c r="A94" s="13">
        <v>123</v>
      </c>
      <c r="B94" s="13">
        <f t="shared" si="2"/>
        <v>5124</v>
      </c>
      <c r="C94" s="2" t="str">
        <f t="shared" si="3"/>
        <v>I123</v>
      </c>
      <c r="D94" s="13" t="s">
        <v>260</v>
      </c>
      <c r="E94" s="13" t="s">
        <v>2147</v>
      </c>
      <c r="F94" s="13" t="s">
        <v>2125</v>
      </c>
      <c r="G94" s="13" t="s">
        <v>0</v>
      </c>
      <c r="H94" s="13"/>
      <c r="I94" s="13">
        <v>0</v>
      </c>
      <c r="J94" s="13">
        <v>32767</v>
      </c>
      <c r="K94" s="13" t="s">
        <v>11</v>
      </c>
      <c r="L94" s="13"/>
      <c r="M94" s="18" t="s">
        <v>2660</v>
      </c>
    </row>
    <row r="95" spans="1:14" ht="31.5" x14ac:dyDescent="0.25">
      <c r="A95" s="13">
        <v>124</v>
      </c>
      <c r="B95" s="13">
        <f t="shared" si="2"/>
        <v>5125</v>
      </c>
      <c r="C95" s="2" t="str">
        <f t="shared" si="3"/>
        <v>I124</v>
      </c>
      <c r="D95" s="13" t="s">
        <v>261</v>
      </c>
      <c r="E95" s="13" t="s">
        <v>2148</v>
      </c>
      <c r="F95" s="13" t="s">
        <v>2126</v>
      </c>
      <c r="G95" s="13" t="s">
        <v>0</v>
      </c>
      <c r="H95" s="13"/>
      <c r="I95" s="13">
        <v>0</v>
      </c>
      <c r="J95" s="13">
        <v>32767</v>
      </c>
      <c r="K95" s="13" t="s">
        <v>11</v>
      </c>
      <c r="L95" s="13"/>
      <c r="M95" s="18" t="s">
        <v>2660</v>
      </c>
    </row>
    <row r="96" spans="1:14" ht="31.5" x14ac:dyDescent="0.25">
      <c r="A96" s="13">
        <v>133</v>
      </c>
      <c r="B96" s="13">
        <f t="shared" ref="B96:B143" si="4">A96+5001</f>
        <v>5134</v>
      </c>
      <c r="C96" s="2" t="str">
        <f t="shared" ref="C96:C143" si="5">"I"&amp;A96</f>
        <v>I133</v>
      </c>
      <c r="D96" s="13" t="s">
        <v>262</v>
      </c>
      <c r="E96" s="13" t="s">
        <v>2134</v>
      </c>
      <c r="F96" s="13" t="s">
        <v>2127</v>
      </c>
      <c r="G96" s="13" t="s">
        <v>0</v>
      </c>
      <c r="H96" s="13" t="s">
        <v>13</v>
      </c>
      <c r="I96" s="13">
        <v>0</v>
      </c>
      <c r="J96" s="13">
        <v>999</v>
      </c>
      <c r="K96" s="13" t="s">
        <v>11</v>
      </c>
      <c r="L96" s="13"/>
      <c r="M96" s="18" t="s">
        <v>2660</v>
      </c>
      <c r="N96" s="22"/>
    </row>
    <row r="97" spans="1:14" ht="31.5" x14ac:dyDescent="0.25">
      <c r="A97" s="13">
        <v>134</v>
      </c>
      <c r="B97" s="13">
        <f t="shared" si="4"/>
        <v>5135</v>
      </c>
      <c r="C97" s="2" t="str">
        <f t="shared" si="5"/>
        <v>I134</v>
      </c>
      <c r="D97" s="13" t="s">
        <v>263</v>
      </c>
      <c r="E97" s="13" t="s">
        <v>2135</v>
      </c>
      <c r="F97" s="13" t="s">
        <v>2128</v>
      </c>
      <c r="G97" s="13" t="s">
        <v>0</v>
      </c>
      <c r="H97" s="13" t="s">
        <v>13</v>
      </c>
      <c r="I97" s="13">
        <v>0</v>
      </c>
      <c r="J97" s="13">
        <v>9999</v>
      </c>
      <c r="K97" s="13" t="s">
        <v>11</v>
      </c>
      <c r="L97" s="13"/>
      <c r="M97" s="18" t="s">
        <v>2660</v>
      </c>
      <c r="N97" s="22"/>
    </row>
    <row r="98" spans="1:14" ht="31.5" x14ac:dyDescent="0.25">
      <c r="A98" s="13">
        <v>135</v>
      </c>
      <c r="B98" s="13">
        <f t="shared" si="4"/>
        <v>5136</v>
      </c>
      <c r="C98" s="2" t="str">
        <f t="shared" si="5"/>
        <v>I135</v>
      </c>
      <c r="D98" s="13" t="s">
        <v>264</v>
      </c>
      <c r="E98" s="13" t="s">
        <v>2136</v>
      </c>
      <c r="F98" s="13" t="s">
        <v>2129</v>
      </c>
      <c r="G98" s="13" t="s">
        <v>0</v>
      </c>
      <c r="H98" s="13" t="s">
        <v>13</v>
      </c>
      <c r="I98" s="13">
        <v>0</v>
      </c>
      <c r="J98" s="13">
        <v>9999</v>
      </c>
      <c r="K98" s="13" t="s">
        <v>11</v>
      </c>
      <c r="L98" s="13"/>
      <c r="M98" s="18" t="s">
        <v>2660</v>
      </c>
      <c r="N98" s="22"/>
    </row>
    <row r="99" spans="1:14" ht="21" x14ac:dyDescent="0.25">
      <c r="A99" s="13">
        <v>136</v>
      </c>
      <c r="B99" s="13">
        <f t="shared" si="4"/>
        <v>5137</v>
      </c>
      <c r="C99" s="2" t="str">
        <f t="shared" si="5"/>
        <v>I136</v>
      </c>
      <c r="D99" s="13" t="s">
        <v>265</v>
      </c>
      <c r="E99" s="13" t="s">
        <v>2137</v>
      </c>
      <c r="F99" s="13" t="s">
        <v>2130</v>
      </c>
      <c r="G99" s="13" t="s">
        <v>0</v>
      </c>
      <c r="H99" s="13" t="s">
        <v>13</v>
      </c>
      <c r="I99" s="13">
        <v>0</v>
      </c>
      <c r="J99" s="13">
        <v>999</v>
      </c>
      <c r="K99" s="13" t="s">
        <v>11</v>
      </c>
      <c r="L99" s="13"/>
      <c r="M99" s="18" t="s">
        <v>2660</v>
      </c>
      <c r="N99" s="22"/>
    </row>
    <row r="100" spans="1:14" ht="21" x14ac:dyDescent="0.25">
      <c r="A100" s="13">
        <v>137</v>
      </c>
      <c r="B100" s="13">
        <f t="shared" si="4"/>
        <v>5138</v>
      </c>
      <c r="C100" s="2" t="str">
        <f t="shared" si="5"/>
        <v>I137</v>
      </c>
      <c r="D100" s="13" t="s">
        <v>266</v>
      </c>
      <c r="E100" s="13" t="s">
        <v>2138</v>
      </c>
      <c r="F100" s="13" t="s">
        <v>2131</v>
      </c>
      <c r="G100" s="13" t="s">
        <v>0</v>
      </c>
      <c r="H100" s="13" t="s">
        <v>13</v>
      </c>
      <c r="I100" s="13">
        <v>0</v>
      </c>
      <c r="J100" s="13">
        <v>9999</v>
      </c>
      <c r="K100" s="13" t="s">
        <v>11</v>
      </c>
      <c r="L100" s="13"/>
      <c r="M100" s="18" t="s">
        <v>2660</v>
      </c>
      <c r="N100" s="22"/>
    </row>
    <row r="101" spans="1:14" ht="21" x14ac:dyDescent="0.25">
      <c r="A101" s="13">
        <v>138</v>
      </c>
      <c r="B101" s="13">
        <f t="shared" si="4"/>
        <v>5139</v>
      </c>
      <c r="C101" s="2" t="str">
        <f t="shared" si="5"/>
        <v>I138</v>
      </c>
      <c r="D101" s="13" t="s">
        <v>267</v>
      </c>
      <c r="E101" s="13" t="s">
        <v>2139</v>
      </c>
      <c r="F101" s="13" t="s">
        <v>2132</v>
      </c>
      <c r="G101" s="13" t="s">
        <v>0</v>
      </c>
      <c r="H101" s="13" t="s">
        <v>13</v>
      </c>
      <c r="I101" s="13">
        <v>0</v>
      </c>
      <c r="J101" s="13">
        <v>9999</v>
      </c>
      <c r="K101" s="13" t="s">
        <v>11</v>
      </c>
      <c r="L101" s="13"/>
      <c r="M101" s="18" t="s">
        <v>2660</v>
      </c>
      <c r="N101" s="22"/>
    </row>
    <row r="102" spans="1:14" ht="21" x14ac:dyDescent="0.25">
      <c r="A102" s="13">
        <v>139</v>
      </c>
      <c r="B102" s="13">
        <f t="shared" si="4"/>
        <v>5140</v>
      </c>
      <c r="C102" s="2" t="str">
        <f t="shared" si="5"/>
        <v>I139</v>
      </c>
      <c r="D102" s="13" t="s">
        <v>268</v>
      </c>
      <c r="E102" s="13" t="s">
        <v>2140</v>
      </c>
      <c r="F102" s="13" t="s">
        <v>2133</v>
      </c>
      <c r="G102" s="13" t="s">
        <v>0</v>
      </c>
      <c r="H102" s="13" t="s">
        <v>13</v>
      </c>
      <c r="I102" s="13">
        <v>0</v>
      </c>
      <c r="J102" s="13">
        <v>100</v>
      </c>
      <c r="K102" s="13" t="s">
        <v>16</v>
      </c>
      <c r="L102" s="13"/>
      <c r="M102" s="18" t="s">
        <v>2247</v>
      </c>
    </row>
    <row r="103" spans="1:14" x14ac:dyDescent="0.25">
      <c r="A103" s="13">
        <v>140</v>
      </c>
      <c r="B103" s="13">
        <f t="shared" si="4"/>
        <v>5141</v>
      </c>
      <c r="C103" s="2" t="str">
        <f t="shared" si="5"/>
        <v>I140</v>
      </c>
      <c r="D103" s="13" t="s">
        <v>269</v>
      </c>
      <c r="E103" s="13" t="s">
        <v>557</v>
      </c>
      <c r="F103" s="13" t="s">
        <v>1477</v>
      </c>
      <c r="G103" s="13" t="s">
        <v>0</v>
      </c>
      <c r="H103" s="13" t="s">
        <v>13</v>
      </c>
      <c r="I103" s="13">
        <v>0</v>
      </c>
      <c r="J103" s="13">
        <v>999</v>
      </c>
      <c r="K103" s="13" t="s">
        <v>16</v>
      </c>
      <c r="L103" s="13"/>
      <c r="M103" s="18" t="s">
        <v>2248</v>
      </c>
    </row>
    <row r="104" spans="1:14" x14ac:dyDescent="0.25">
      <c r="A104" s="13">
        <v>141</v>
      </c>
      <c r="B104" s="13">
        <f t="shared" si="4"/>
        <v>5142</v>
      </c>
      <c r="C104" s="2" t="str">
        <f t="shared" si="5"/>
        <v>I141</v>
      </c>
      <c r="D104" s="13" t="s">
        <v>270</v>
      </c>
      <c r="E104" s="13" t="s">
        <v>558</v>
      </c>
      <c r="F104" s="13" t="s">
        <v>845</v>
      </c>
      <c r="G104" s="13" t="s">
        <v>207</v>
      </c>
      <c r="H104" s="13" t="s">
        <v>211</v>
      </c>
      <c r="I104" s="13">
        <v>0</v>
      </c>
      <c r="J104" s="13">
        <v>23</v>
      </c>
      <c r="K104" s="13" t="s">
        <v>11</v>
      </c>
      <c r="L104" s="13"/>
      <c r="M104" s="18" t="s">
        <v>2246</v>
      </c>
    </row>
    <row r="105" spans="1:14" x14ac:dyDescent="0.25">
      <c r="A105" s="13">
        <v>142</v>
      </c>
      <c r="B105" s="13">
        <f t="shared" si="4"/>
        <v>5143</v>
      </c>
      <c r="C105" s="2" t="str">
        <f t="shared" si="5"/>
        <v>I142</v>
      </c>
      <c r="D105" s="13" t="s">
        <v>271</v>
      </c>
      <c r="E105" s="13" t="s">
        <v>559</v>
      </c>
      <c r="F105" s="13" t="s">
        <v>846</v>
      </c>
      <c r="G105" s="13" t="s">
        <v>207</v>
      </c>
      <c r="H105" s="13" t="s">
        <v>13</v>
      </c>
      <c r="I105" s="13">
        <v>0</v>
      </c>
      <c r="J105" s="13">
        <v>59</v>
      </c>
      <c r="K105" s="13" t="s">
        <v>11</v>
      </c>
      <c r="L105" s="13"/>
      <c r="M105" s="18" t="s">
        <v>2246</v>
      </c>
    </row>
    <row r="106" spans="1:14" x14ac:dyDescent="0.25">
      <c r="A106" s="13">
        <v>143</v>
      </c>
      <c r="B106" s="13">
        <f t="shared" si="4"/>
        <v>5144</v>
      </c>
      <c r="C106" s="2" t="str">
        <f t="shared" si="5"/>
        <v>I143</v>
      </c>
      <c r="D106" s="13" t="s">
        <v>272</v>
      </c>
      <c r="E106" s="13" t="s">
        <v>560</v>
      </c>
      <c r="F106" s="13" t="s">
        <v>1478</v>
      </c>
      <c r="G106" s="13" t="s">
        <v>0</v>
      </c>
      <c r="H106" s="13" t="s">
        <v>13</v>
      </c>
      <c r="I106" s="13">
        <v>-32768</v>
      </c>
      <c r="J106" s="13">
        <v>32767</v>
      </c>
      <c r="K106" s="13" t="s">
        <v>11</v>
      </c>
      <c r="L106" s="13"/>
      <c r="M106" s="18" t="s">
        <v>2246</v>
      </c>
    </row>
    <row r="107" spans="1:14" x14ac:dyDescent="0.25">
      <c r="A107" s="13">
        <v>144</v>
      </c>
      <c r="B107" s="13">
        <f t="shared" si="4"/>
        <v>5145</v>
      </c>
      <c r="C107" s="2" t="str">
        <f t="shared" si="5"/>
        <v>I144</v>
      </c>
      <c r="D107" s="13" t="s">
        <v>273</v>
      </c>
      <c r="E107" s="13" t="s">
        <v>561</v>
      </c>
      <c r="F107" s="13" t="s">
        <v>1479</v>
      </c>
      <c r="G107" s="13" t="s">
        <v>0</v>
      </c>
      <c r="H107" s="13" t="s">
        <v>13</v>
      </c>
      <c r="I107" s="13">
        <v>-32768</v>
      </c>
      <c r="J107" s="13">
        <v>32767</v>
      </c>
      <c r="K107" s="13" t="s">
        <v>11</v>
      </c>
      <c r="L107" s="13"/>
      <c r="M107" s="18" t="s">
        <v>2246</v>
      </c>
    </row>
    <row r="108" spans="1:14" x14ac:dyDescent="0.25">
      <c r="A108" s="13">
        <v>148</v>
      </c>
      <c r="B108" s="13">
        <f t="shared" si="4"/>
        <v>5149</v>
      </c>
      <c r="C108" s="2" t="str">
        <f t="shared" si="5"/>
        <v>I148</v>
      </c>
      <c r="D108" s="13" t="s">
        <v>847</v>
      </c>
      <c r="E108" s="13" t="s">
        <v>1481</v>
      </c>
      <c r="F108" s="13" t="s">
        <v>848</v>
      </c>
      <c r="G108" s="13" t="s">
        <v>0</v>
      </c>
      <c r="H108" s="13" t="s">
        <v>13</v>
      </c>
      <c r="I108" s="13">
        <v>0</v>
      </c>
      <c r="J108" s="13">
        <v>32767</v>
      </c>
      <c r="K108" s="13" t="s">
        <v>16</v>
      </c>
      <c r="L108" s="13"/>
      <c r="M108" s="18" t="s">
        <v>2246</v>
      </c>
    </row>
    <row r="109" spans="1:14" ht="21" x14ac:dyDescent="0.25">
      <c r="A109" s="13">
        <v>149</v>
      </c>
      <c r="B109" s="13">
        <f t="shared" si="4"/>
        <v>5150</v>
      </c>
      <c r="C109" s="2" t="str">
        <f t="shared" si="5"/>
        <v>I149</v>
      </c>
      <c r="D109" s="13" t="s">
        <v>849</v>
      </c>
      <c r="E109" s="13" t="s">
        <v>1484</v>
      </c>
      <c r="F109" s="13" t="s">
        <v>850</v>
      </c>
      <c r="G109" s="13" t="s">
        <v>0</v>
      </c>
      <c r="H109" s="13" t="s">
        <v>13</v>
      </c>
      <c r="I109" s="13">
        <v>0</v>
      </c>
      <c r="J109" s="13">
        <v>32767</v>
      </c>
      <c r="K109" s="13" t="s">
        <v>16</v>
      </c>
      <c r="L109" s="13"/>
      <c r="M109" s="18" t="s">
        <v>2246</v>
      </c>
    </row>
    <row r="110" spans="1:14" ht="21" x14ac:dyDescent="0.25">
      <c r="A110" s="13">
        <v>150</v>
      </c>
      <c r="B110" s="13">
        <f t="shared" si="4"/>
        <v>5151</v>
      </c>
      <c r="C110" s="2" t="str">
        <f t="shared" si="5"/>
        <v>I150</v>
      </c>
      <c r="D110" s="13" t="s">
        <v>851</v>
      </c>
      <c r="E110" s="13" t="s">
        <v>1485</v>
      </c>
      <c r="F110" s="13" t="s">
        <v>852</v>
      </c>
      <c r="G110" s="13" t="s">
        <v>0</v>
      </c>
      <c r="H110" s="13" t="s">
        <v>13</v>
      </c>
      <c r="I110" s="13">
        <v>0</v>
      </c>
      <c r="J110" s="13">
        <v>32767</v>
      </c>
      <c r="K110" s="13" t="s">
        <v>16</v>
      </c>
      <c r="L110" s="13"/>
      <c r="M110" s="18" t="s">
        <v>2246</v>
      </c>
    </row>
    <row r="111" spans="1:14" x14ac:dyDescent="0.25">
      <c r="A111" s="13">
        <v>151</v>
      </c>
      <c r="B111" s="13">
        <f t="shared" si="4"/>
        <v>5152</v>
      </c>
      <c r="C111" s="2" t="str">
        <f t="shared" si="5"/>
        <v>I151</v>
      </c>
      <c r="D111" s="13" t="s">
        <v>853</v>
      </c>
      <c r="E111" s="13" t="s">
        <v>1482</v>
      </c>
      <c r="F111" s="13" t="s">
        <v>854</v>
      </c>
      <c r="G111" s="13" t="s">
        <v>0</v>
      </c>
      <c r="H111" s="13" t="s">
        <v>13</v>
      </c>
      <c r="I111" s="13">
        <v>0</v>
      </c>
      <c r="J111" s="13">
        <v>32767</v>
      </c>
      <c r="K111" s="13" t="s">
        <v>16</v>
      </c>
      <c r="L111" s="13"/>
      <c r="M111" s="18" t="s">
        <v>2246</v>
      </c>
    </row>
    <row r="112" spans="1:14" x14ac:dyDescent="0.25">
      <c r="A112" s="13">
        <v>152</v>
      </c>
      <c r="B112" s="13">
        <f t="shared" si="4"/>
        <v>5153</v>
      </c>
      <c r="C112" s="2" t="str">
        <f t="shared" si="5"/>
        <v>I152</v>
      </c>
      <c r="D112" s="13" t="s">
        <v>855</v>
      </c>
      <c r="E112" s="13" t="s">
        <v>1483</v>
      </c>
      <c r="F112" s="13" t="s">
        <v>856</v>
      </c>
      <c r="G112" s="13" t="s">
        <v>0</v>
      </c>
      <c r="H112" s="13" t="s">
        <v>13</v>
      </c>
      <c r="I112" s="13">
        <v>0</v>
      </c>
      <c r="J112" s="13">
        <v>32767</v>
      </c>
      <c r="K112" s="13" t="s">
        <v>16</v>
      </c>
      <c r="L112" s="13"/>
      <c r="M112" s="18" t="s">
        <v>2246</v>
      </c>
    </row>
    <row r="113" spans="1:13" ht="21" x14ac:dyDescent="0.25">
      <c r="A113" s="13">
        <v>153</v>
      </c>
      <c r="B113" s="13">
        <f t="shared" si="4"/>
        <v>5154</v>
      </c>
      <c r="C113" s="2" t="str">
        <f t="shared" si="5"/>
        <v>I153</v>
      </c>
      <c r="D113" s="13" t="s">
        <v>2682</v>
      </c>
      <c r="E113" s="13" t="s">
        <v>2683</v>
      </c>
      <c r="F113" s="13" t="s">
        <v>2684</v>
      </c>
      <c r="G113" s="13"/>
      <c r="H113" s="13" t="s">
        <v>13</v>
      </c>
      <c r="I113" s="13">
        <v>0</v>
      </c>
      <c r="J113" s="13">
        <v>1</v>
      </c>
      <c r="K113" s="13" t="s">
        <v>16</v>
      </c>
      <c r="L113" s="13"/>
      <c r="M113" s="18" t="s">
        <v>2246</v>
      </c>
    </row>
    <row r="114" spans="1:13" ht="21" x14ac:dyDescent="0.25">
      <c r="A114" s="13">
        <v>154</v>
      </c>
      <c r="B114" s="13">
        <f t="shared" si="4"/>
        <v>5155</v>
      </c>
      <c r="C114" s="2" t="str">
        <f t="shared" si="5"/>
        <v>I154</v>
      </c>
      <c r="D114" s="13" t="s">
        <v>275</v>
      </c>
      <c r="E114" s="13" t="s">
        <v>2604</v>
      </c>
      <c r="F114" s="13" t="s">
        <v>1480</v>
      </c>
      <c r="G114" s="13" t="s">
        <v>0</v>
      </c>
      <c r="H114" s="13" t="s">
        <v>274</v>
      </c>
      <c r="I114" s="13">
        <v>0</v>
      </c>
      <c r="J114" s="13">
        <v>32767</v>
      </c>
      <c r="K114" s="13" t="s">
        <v>11</v>
      </c>
      <c r="L114" s="13"/>
      <c r="M114" s="18" t="s">
        <v>2246</v>
      </c>
    </row>
    <row r="115" spans="1:13" ht="21" x14ac:dyDescent="0.25">
      <c r="A115" s="13">
        <v>159</v>
      </c>
      <c r="B115" s="13">
        <f t="shared" si="4"/>
        <v>5160</v>
      </c>
      <c r="C115" s="2" t="str">
        <f t="shared" si="5"/>
        <v>I159</v>
      </c>
      <c r="D115" s="13" t="s">
        <v>857</v>
      </c>
      <c r="E115" s="13" t="s">
        <v>1486</v>
      </c>
      <c r="F115" s="13" t="s">
        <v>858</v>
      </c>
      <c r="G115" s="13" t="s">
        <v>0</v>
      </c>
      <c r="H115" s="13" t="s">
        <v>13</v>
      </c>
      <c r="I115" s="13">
        <v>0</v>
      </c>
      <c r="J115" s="13">
        <v>32767</v>
      </c>
      <c r="K115" s="13" t="s">
        <v>16</v>
      </c>
      <c r="L115" s="13"/>
      <c r="M115" s="18" t="s">
        <v>2246</v>
      </c>
    </row>
    <row r="116" spans="1:13" ht="21" x14ac:dyDescent="0.25">
      <c r="A116" s="13">
        <v>160</v>
      </c>
      <c r="B116" s="13">
        <f t="shared" si="4"/>
        <v>5161</v>
      </c>
      <c r="C116" s="2" t="str">
        <f t="shared" si="5"/>
        <v>I160</v>
      </c>
      <c r="D116" s="13" t="s">
        <v>859</v>
      </c>
      <c r="E116" s="13" t="s">
        <v>1487</v>
      </c>
      <c r="F116" s="13" t="s">
        <v>860</v>
      </c>
      <c r="G116" s="13" t="s">
        <v>0</v>
      </c>
      <c r="H116" s="13" t="s">
        <v>13</v>
      </c>
      <c r="I116" s="13">
        <v>0</v>
      </c>
      <c r="J116" s="13">
        <v>32767</v>
      </c>
      <c r="K116" s="13" t="s">
        <v>16</v>
      </c>
      <c r="L116" s="13"/>
      <c r="M116" s="18" t="s">
        <v>2246</v>
      </c>
    </row>
    <row r="117" spans="1:13" x14ac:dyDescent="0.25">
      <c r="A117" s="13">
        <v>161</v>
      </c>
      <c r="B117" s="13">
        <f t="shared" si="4"/>
        <v>5162</v>
      </c>
      <c r="C117" s="2" t="str">
        <f t="shared" si="5"/>
        <v>I161</v>
      </c>
      <c r="D117" s="13" t="s">
        <v>276</v>
      </c>
      <c r="E117" s="13" t="s">
        <v>562</v>
      </c>
      <c r="F117" s="13" t="s">
        <v>1492</v>
      </c>
      <c r="G117" s="13" t="s">
        <v>0</v>
      </c>
      <c r="H117" s="13" t="s">
        <v>13</v>
      </c>
      <c r="I117" s="13">
        <v>-32768</v>
      </c>
      <c r="J117" s="13">
        <v>32767</v>
      </c>
      <c r="K117" s="13" t="s">
        <v>11</v>
      </c>
      <c r="L117" s="13"/>
      <c r="M117" s="18" t="s">
        <v>2246</v>
      </c>
    </row>
    <row r="118" spans="1:13" x14ac:dyDescent="0.25">
      <c r="A118" s="13">
        <v>162</v>
      </c>
      <c r="B118" s="13">
        <f t="shared" si="4"/>
        <v>5163</v>
      </c>
      <c r="C118" s="2" t="str">
        <f t="shared" si="5"/>
        <v>I162</v>
      </c>
      <c r="D118" s="13" t="s">
        <v>277</v>
      </c>
      <c r="E118" s="13" t="s">
        <v>563</v>
      </c>
      <c r="F118" s="13" t="s">
        <v>1491</v>
      </c>
      <c r="G118" s="13" t="s">
        <v>0</v>
      </c>
      <c r="H118" s="13" t="s">
        <v>13</v>
      </c>
      <c r="I118" s="13">
        <v>-32768</v>
      </c>
      <c r="J118" s="13">
        <v>32767</v>
      </c>
      <c r="K118" s="13" t="s">
        <v>11</v>
      </c>
      <c r="L118" s="13"/>
      <c r="M118" s="18" t="s">
        <v>2246</v>
      </c>
    </row>
    <row r="119" spans="1:13" x14ac:dyDescent="0.25">
      <c r="A119" s="13">
        <v>163</v>
      </c>
      <c r="B119" s="13">
        <f t="shared" si="4"/>
        <v>5164</v>
      </c>
      <c r="C119" s="2" t="str">
        <f t="shared" si="5"/>
        <v>I163</v>
      </c>
      <c r="D119" s="13" t="s">
        <v>861</v>
      </c>
      <c r="E119" s="13" t="s">
        <v>1488</v>
      </c>
      <c r="F119" s="13" t="s">
        <v>862</v>
      </c>
      <c r="G119" s="13" t="s">
        <v>0</v>
      </c>
      <c r="H119" s="13" t="s">
        <v>13</v>
      </c>
      <c r="I119" s="13">
        <v>0</v>
      </c>
      <c r="J119" s="13">
        <v>32767</v>
      </c>
      <c r="K119" s="13" t="s">
        <v>16</v>
      </c>
      <c r="L119" s="13"/>
      <c r="M119" s="18" t="s">
        <v>2246</v>
      </c>
    </row>
    <row r="120" spans="1:13" x14ac:dyDescent="0.25">
      <c r="A120" s="13">
        <v>164</v>
      </c>
      <c r="B120" s="13">
        <f t="shared" si="4"/>
        <v>5165</v>
      </c>
      <c r="C120" s="2" t="str">
        <f t="shared" si="5"/>
        <v>I164</v>
      </c>
      <c r="D120" s="13" t="s">
        <v>278</v>
      </c>
      <c r="E120" s="13" t="s">
        <v>564</v>
      </c>
      <c r="F120" s="13" t="s">
        <v>1490</v>
      </c>
      <c r="G120" s="13" t="s">
        <v>0</v>
      </c>
      <c r="H120" s="13" t="s">
        <v>13</v>
      </c>
      <c r="I120" s="13">
        <v>-32768</v>
      </c>
      <c r="J120" s="13">
        <v>32767</v>
      </c>
      <c r="K120" s="13" t="s">
        <v>11</v>
      </c>
      <c r="L120" s="13"/>
      <c r="M120" s="18" t="s">
        <v>2246</v>
      </c>
    </row>
    <row r="121" spans="1:13" x14ac:dyDescent="0.25">
      <c r="A121" s="13">
        <v>165</v>
      </c>
      <c r="B121" s="13">
        <f t="shared" si="4"/>
        <v>5166</v>
      </c>
      <c r="C121" s="2" t="str">
        <f t="shared" si="5"/>
        <v>I165</v>
      </c>
      <c r="D121" s="13" t="s">
        <v>279</v>
      </c>
      <c r="E121" s="13" t="s">
        <v>565</v>
      </c>
      <c r="F121" s="13" t="s">
        <v>1493</v>
      </c>
      <c r="G121" s="13" t="s">
        <v>0</v>
      </c>
      <c r="H121" s="13" t="s">
        <v>13</v>
      </c>
      <c r="I121" s="13">
        <v>-32768</v>
      </c>
      <c r="J121" s="13">
        <v>32767</v>
      </c>
      <c r="K121" s="13" t="s">
        <v>11</v>
      </c>
      <c r="L121" s="13"/>
      <c r="M121" s="18" t="s">
        <v>2246</v>
      </c>
    </row>
    <row r="122" spans="1:13" x14ac:dyDescent="0.25">
      <c r="A122" s="13">
        <v>166</v>
      </c>
      <c r="B122" s="13">
        <f t="shared" si="4"/>
        <v>5167</v>
      </c>
      <c r="C122" s="2" t="str">
        <f t="shared" si="5"/>
        <v>I166</v>
      </c>
      <c r="D122" s="13" t="s">
        <v>863</v>
      </c>
      <c r="E122" s="13" t="s">
        <v>1489</v>
      </c>
      <c r="F122" s="13" t="s">
        <v>864</v>
      </c>
      <c r="G122" s="13" t="s">
        <v>0</v>
      </c>
      <c r="H122" s="13" t="s">
        <v>13</v>
      </c>
      <c r="I122" s="13">
        <v>0</v>
      </c>
      <c r="J122" s="13">
        <v>32767</v>
      </c>
      <c r="K122" s="13" t="s">
        <v>16</v>
      </c>
      <c r="L122" s="13"/>
      <c r="M122" s="18" t="s">
        <v>2246</v>
      </c>
    </row>
    <row r="123" spans="1:13" x14ac:dyDescent="0.25">
      <c r="A123" s="13">
        <v>167</v>
      </c>
      <c r="B123" s="13">
        <f t="shared" si="4"/>
        <v>5168</v>
      </c>
      <c r="C123" s="2" t="str">
        <f t="shared" si="5"/>
        <v>I167</v>
      </c>
      <c r="D123" s="13" t="s">
        <v>281</v>
      </c>
      <c r="E123" s="13" t="s">
        <v>1494</v>
      </c>
      <c r="F123" s="13" t="s">
        <v>865</v>
      </c>
      <c r="G123" s="13" t="s">
        <v>280</v>
      </c>
      <c r="H123" s="13" t="s">
        <v>169</v>
      </c>
      <c r="I123" s="13">
        <v>0</v>
      </c>
      <c r="J123" s="13">
        <v>5000</v>
      </c>
      <c r="K123" s="13" t="s">
        <v>16</v>
      </c>
      <c r="L123" s="13"/>
      <c r="M123" s="18" t="s">
        <v>2246</v>
      </c>
    </row>
    <row r="124" spans="1:13" x14ac:dyDescent="0.25">
      <c r="A124" s="13">
        <v>168</v>
      </c>
      <c r="B124" s="13">
        <f t="shared" si="4"/>
        <v>5169</v>
      </c>
      <c r="C124" s="2" t="str">
        <f t="shared" si="5"/>
        <v>I168</v>
      </c>
      <c r="D124" s="13" t="s">
        <v>282</v>
      </c>
      <c r="E124" s="27" t="s">
        <v>2102</v>
      </c>
      <c r="F124" s="13" t="s">
        <v>866</v>
      </c>
      <c r="G124" s="13" t="s">
        <v>280</v>
      </c>
      <c r="H124" s="13" t="s">
        <v>169</v>
      </c>
      <c r="I124" s="13">
        <v>0</v>
      </c>
      <c r="J124" s="13">
        <v>2000</v>
      </c>
      <c r="K124" s="13" t="s">
        <v>16</v>
      </c>
      <c r="L124" s="13"/>
      <c r="M124" s="18" t="s">
        <v>2246</v>
      </c>
    </row>
    <row r="125" spans="1:13" x14ac:dyDescent="0.25">
      <c r="A125" s="13">
        <v>169</v>
      </c>
      <c r="B125" s="13">
        <f t="shared" si="4"/>
        <v>5170</v>
      </c>
      <c r="C125" s="2" t="str">
        <f t="shared" si="5"/>
        <v>I169</v>
      </c>
      <c r="D125" s="13" t="s">
        <v>283</v>
      </c>
      <c r="E125" s="13" t="s">
        <v>1495</v>
      </c>
      <c r="F125" s="13" t="s">
        <v>867</v>
      </c>
      <c r="G125" s="13" t="s">
        <v>280</v>
      </c>
      <c r="H125" s="13" t="s">
        <v>8</v>
      </c>
      <c r="I125" s="13">
        <v>0</v>
      </c>
      <c r="J125" s="13">
        <v>100</v>
      </c>
      <c r="K125" s="13" t="s">
        <v>16</v>
      </c>
      <c r="L125" s="13"/>
      <c r="M125" s="18" t="s">
        <v>2246</v>
      </c>
    </row>
    <row r="126" spans="1:13" x14ac:dyDescent="0.25">
      <c r="A126" s="13">
        <v>170</v>
      </c>
      <c r="B126" s="13">
        <f t="shared" si="4"/>
        <v>5171</v>
      </c>
      <c r="C126" s="2" t="str">
        <f t="shared" si="5"/>
        <v>I170</v>
      </c>
      <c r="D126" s="13" t="s">
        <v>284</v>
      </c>
      <c r="E126" s="13" t="s">
        <v>1496</v>
      </c>
      <c r="F126" s="13" t="s">
        <v>868</v>
      </c>
      <c r="G126" s="13" t="s">
        <v>280</v>
      </c>
      <c r="H126" s="13" t="s">
        <v>8</v>
      </c>
      <c r="I126" s="13">
        <v>0</v>
      </c>
      <c r="J126" s="13">
        <v>100</v>
      </c>
      <c r="K126" s="13" t="s">
        <v>16</v>
      </c>
      <c r="L126" s="13"/>
      <c r="M126" s="18" t="s">
        <v>2246</v>
      </c>
    </row>
    <row r="127" spans="1:13" ht="21" x14ac:dyDescent="0.25">
      <c r="A127" s="13">
        <v>171</v>
      </c>
      <c r="B127" s="13">
        <f t="shared" si="4"/>
        <v>5172</v>
      </c>
      <c r="C127" s="2" t="str">
        <f t="shared" si="5"/>
        <v>I171</v>
      </c>
      <c r="D127" s="13" t="s">
        <v>285</v>
      </c>
      <c r="E127" s="13" t="s">
        <v>566</v>
      </c>
      <c r="F127" s="13" t="s">
        <v>1497</v>
      </c>
      <c r="G127" s="13" t="s">
        <v>0</v>
      </c>
      <c r="H127" s="13" t="s">
        <v>274</v>
      </c>
      <c r="I127" s="13">
        <v>-32768</v>
      </c>
      <c r="J127" s="13">
        <v>32767</v>
      </c>
      <c r="K127" s="13" t="s">
        <v>11</v>
      </c>
      <c r="L127" s="13"/>
      <c r="M127" s="18" t="s">
        <v>2246</v>
      </c>
    </row>
    <row r="128" spans="1:13" ht="21" x14ac:dyDescent="0.25">
      <c r="A128" s="13">
        <v>172</v>
      </c>
      <c r="B128" s="13">
        <f t="shared" si="4"/>
        <v>5173</v>
      </c>
      <c r="C128" s="2" t="str">
        <f t="shared" si="5"/>
        <v>I172</v>
      </c>
      <c r="D128" s="13" t="s">
        <v>286</v>
      </c>
      <c r="E128" s="13" t="s">
        <v>1498</v>
      </c>
      <c r="F128" s="13" t="s">
        <v>1499</v>
      </c>
      <c r="G128" s="13" t="s">
        <v>0</v>
      </c>
      <c r="H128" s="13" t="s">
        <v>13</v>
      </c>
      <c r="I128" s="13">
        <v>0</v>
      </c>
      <c r="J128" s="13">
        <v>32767</v>
      </c>
      <c r="K128" s="13" t="s">
        <v>16</v>
      </c>
      <c r="L128" s="13"/>
      <c r="M128" s="18" t="s">
        <v>2246</v>
      </c>
    </row>
    <row r="129" spans="1:13" x14ac:dyDescent="0.25">
      <c r="A129" s="13">
        <v>173</v>
      </c>
      <c r="B129" s="13">
        <f t="shared" si="4"/>
        <v>5174</v>
      </c>
      <c r="C129" s="2" t="str">
        <f t="shared" si="5"/>
        <v>I173</v>
      </c>
      <c r="D129" s="13" t="s">
        <v>288</v>
      </c>
      <c r="E129" s="13" t="s">
        <v>2605</v>
      </c>
      <c r="F129" s="13" t="s">
        <v>2606</v>
      </c>
      <c r="G129" s="13" t="s">
        <v>0</v>
      </c>
      <c r="H129" s="13" t="s">
        <v>287</v>
      </c>
      <c r="I129" s="13">
        <v>0</v>
      </c>
      <c r="J129" s="13">
        <v>32767</v>
      </c>
      <c r="K129" s="13" t="s">
        <v>11</v>
      </c>
      <c r="L129" s="13"/>
      <c r="M129" s="18" t="s">
        <v>2246</v>
      </c>
    </row>
    <row r="130" spans="1:13" ht="21" x14ac:dyDescent="0.25">
      <c r="A130" s="13">
        <v>174</v>
      </c>
      <c r="B130" s="13">
        <f t="shared" si="4"/>
        <v>5175</v>
      </c>
      <c r="C130" s="2" t="str">
        <f t="shared" si="5"/>
        <v>I174</v>
      </c>
      <c r="D130" s="13" t="s">
        <v>289</v>
      </c>
      <c r="E130" s="13" t="s">
        <v>2609</v>
      </c>
      <c r="F130" s="13" t="s">
        <v>2614</v>
      </c>
      <c r="G130" s="13" t="s">
        <v>0</v>
      </c>
      <c r="H130" s="13" t="s">
        <v>982</v>
      </c>
      <c r="I130" s="13">
        <v>0</v>
      </c>
      <c r="J130" s="13">
        <v>32767</v>
      </c>
      <c r="K130" s="13" t="s">
        <v>11</v>
      </c>
      <c r="L130" s="13"/>
      <c r="M130" s="18" t="s">
        <v>2246</v>
      </c>
    </row>
    <row r="131" spans="1:13" x14ac:dyDescent="0.25">
      <c r="A131" s="13">
        <v>175</v>
      </c>
      <c r="B131" s="13">
        <f t="shared" si="4"/>
        <v>5176</v>
      </c>
      <c r="C131" s="2" t="str">
        <f t="shared" si="5"/>
        <v>I175</v>
      </c>
      <c r="D131" s="13" t="s">
        <v>869</v>
      </c>
      <c r="E131" s="13" t="s">
        <v>1500</v>
      </c>
      <c r="F131" s="13" t="s">
        <v>870</v>
      </c>
      <c r="G131" s="13" t="s">
        <v>0</v>
      </c>
      <c r="H131" s="13" t="s">
        <v>13</v>
      </c>
      <c r="I131" s="13">
        <v>0</v>
      </c>
      <c r="J131" s="13">
        <v>31</v>
      </c>
      <c r="K131" s="13" t="s">
        <v>16</v>
      </c>
      <c r="L131" s="13"/>
      <c r="M131" s="18" t="s">
        <v>2246</v>
      </c>
    </row>
    <row r="132" spans="1:13" ht="21" x14ac:dyDescent="0.25">
      <c r="A132" s="13">
        <v>176</v>
      </c>
      <c r="B132" s="13">
        <f t="shared" si="4"/>
        <v>5177</v>
      </c>
      <c r="C132" s="2" t="str">
        <f t="shared" si="5"/>
        <v>I176</v>
      </c>
      <c r="D132" s="13" t="s">
        <v>290</v>
      </c>
      <c r="E132" s="13" t="s">
        <v>2607</v>
      </c>
      <c r="F132" s="13" t="s">
        <v>2612</v>
      </c>
      <c r="G132" s="13" t="s">
        <v>0</v>
      </c>
      <c r="H132" s="13" t="s">
        <v>871</v>
      </c>
      <c r="I132" s="13">
        <v>0</v>
      </c>
      <c r="J132" s="13">
        <v>32767</v>
      </c>
      <c r="K132" s="13" t="s">
        <v>11</v>
      </c>
      <c r="L132" s="13"/>
      <c r="M132" s="18" t="s">
        <v>2246</v>
      </c>
    </row>
    <row r="133" spans="1:13" x14ac:dyDescent="0.25">
      <c r="A133" s="13">
        <v>177</v>
      </c>
      <c r="B133" s="13">
        <f t="shared" si="4"/>
        <v>5178</v>
      </c>
      <c r="C133" s="2" t="str">
        <f t="shared" si="5"/>
        <v>I177</v>
      </c>
      <c r="D133" s="13" t="s">
        <v>291</v>
      </c>
      <c r="E133" s="13" t="s">
        <v>2608</v>
      </c>
      <c r="F133" s="13" t="s">
        <v>2613</v>
      </c>
      <c r="G133" s="13" t="s">
        <v>0</v>
      </c>
      <c r="H133" s="13" t="s">
        <v>287</v>
      </c>
      <c r="I133" s="13">
        <v>0</v>
      </c>
      <c r="J133" s="13">
        <v>32767</v>
      </c>
      <c r="K133" s="13" t="s">
        <v>11</v>
      </c>
      <c r="L133" s="13"/>
      <c r="M133" s="18" t="s">
        <v>2246</v>
      </c>
    </row>
    <row r="134" spans="1:13" ht="21" x14ac:dyDescent="0.25">
      <c r="A134" s="13">
        <v>178</v>
      </c>
      <c r="B134" s="13">
        <f t="shared" si="4"/>
        <v>5179</v>
      </c>
      <c r="C134" s="2" t="str">
        <f t="shared" si="5"/>
        <v>I178</v>
      </c>
      <c r="D134" s="13" t="s">
        <v>292</v>
      </c>
      <c r="E134" s="13" t="s">
        <v>2610</v>
      </c>
      <c r="F134" s="13" t="s">
        <v>2615</v>
      </c>
      <c r="G134" s="13" t="s">
        <v>0</v>
      </c>
      <c r="H134" s="13" t="s">
        <v>982</v>
      </c>
      <c r="I134" s="13">
        <v>0</v>
      </c>
      <c r="J134" s="13">
        <v>32767</v>
      </c>
      <c r="K134" s="13" t="s">
        <v>11</v>
      </c>
      <c r="L134" s="13"/>
      <c r="M134" s="18" t="s">
        <v>2246</v>
      </c>
    </row>
    <row r="135" spans="1:13" ht="21" x14ac:dyDescent="0.25">
      <c r="A135" s="13">
        <v>179</v>
      </c>
      <c r="B135" s="13">
        <f t="shared" si="4"/>
        <v>5180</v>
      </c>
      <c r="C135" s="2" t="str">
        <f t="shared" si="5"/>
        <v>I179</v>
      </c>
      <c r="D135" s="13" t="s">
        <v>293</v>
      </c>
      <c r="E135" s="13" t="s">
        <v>2617</v>
      </c>
      <c r="F135" s="13" t="s">
        <v>2618</v>
      </c>
      <c r="G135" s="13" t="s">
        <v>0</v>
      </c>
      <c r="H135" s="13" t="s">
        <v>18</v>
      </c>
      <c r="I135" s="13">
        <v>0</v>
      </c>
      <c r="J135" s="13">
        <v>999</v>
      </c>
      <c r="K135" s="13" t="s">
        <v>11</v>
      </c>
      <c r="L135" s="13"/>
      <c r="M135" s="18" t="s">
        <v>2246</v>
      </c>
    </row>
    <row r="136" spans="1:13" x14ac:dyDescent="0.25">
      <c r="A136" s="13">
        <v>180</v>
      </c>
      <c r="B136" s="13">
        <f t="shared" si="4"/>
        <v>5181</v>
      </c>
      <c r="C136" s="2" t="str">
        <f t="shared" si="5"/>
        <v>I180</v>
      </c>
      <c r="D136" s="13" t="s">
        <v>294</v>
      </c>
      <c r="E136" s="13" t="s">
        <v>2611</v>
      </c>
      <c r="F136" s="13" t="s">
        <v>2616</v>
      </c>
      <c r="G136" s="13" t="s">
        <v>0</v>
      </c>
      <c r="H136" s="13" t="s">
        <v>871</v>
      </c>
      <c r="I136" s="13">
        <v>0</v>
      </c>
      <c r="J136" s="13">
        <v>32767</v>
      </c>
      <c r="K136" s="13" t="s">
        <v>11</v>
      </c>
      <c r="L136" s="13"/>
      <c r="M136" s="18" t="s">
        <v>2246</v>
      </c>
    </row>
    <row r="137" spans="1:13" x14ac:dyDescent="0.25">
      <c r="A137" s="13">
        <v>181</v>
      </c>
      <c r="B137" s="13">
        <f t="shared" si="4"/>
        <v>5182</v>
      </c>
      <c r="C137" s="2" t="str">
        <f t="shared" si="5"/>
        <v>I181</v>
      </c>
      <c r="D137" s="13" t="s">
        <v>295</v>
      </c>
      <c r="E137" s="13" t="s">
        <v>567</v>
      </c>
      <c r="F137" s="13" t="s">
        <v>1501</v>
      </c>
      <c r="G137" s="13" t="s">
        <v>0</v>
      </c>
      <c r="H137" s="13" t="s">
        <v>13</v>
      </c>
      <c r="I137" s="13">
        <v>-32768</v>
      </c>
      <c r="J137" s="13">
        <v>32767</v>
      </c>
      <c r="K137" s="13" t="s">
        <v>11</v>
      </c>
      <c r="L137" s="13"/>
      <c r="M137" s="18" t="s">
        <v>2246</v>
      </c>
    </row>
    <row r="138" spans="1:13" x14ac:dyDescent="0.25">
      <c r="A138" s="13">
        <v>182</v>
      </c>
      <c r="B138" s="13">
        <f t="shared" si="4"/>
        <v>5183</v>
      </c>
      <c r="C138" s="2" t="str">
        <f t="shared" si="5"/>
        <v>I182</v>
      </c>
      <c r="D138" s="13" t="s">
        <v>296</v>
      </c>
      <c r="E138" s="13" t="s">
        <v>568</v>
      </c>
      <c r="F138" s="13" t="s">
        <v>1502</v>
      </c>
      <c r="G138" s="13" t="s">
        <v>0</v>
      </c>
      <c r="H138" s="13" t="s">
        <v>13</v>
      </c>
      <c r="I138" s="13">
        <v>-32768</v>
      </c>
      <c r="J138" s="13">
        <v>32767</v>
      </c>
      <c r="K138" s="13" t="s">
        <v>11</v>
      </c>
      <c r="L138" s="13"/>
      <c r="M138" s="18" t="s">
        <v>2246</v>
      </c>
    </row>
    <row r="139" spans="1:13" ht="21" x14ac:dyDescent="0.25">
      <c r="A139" s="13">
        <v>183</v>
      </c>
      <c r="B139" s="13">
        <f t="shared" si="4"/>
        <v>5184</v>
      </c>
      <c r="C139" s="2" t="str">
        <f t="shared" si="5"/>
        <v>I183</v>
      </c>
      <c r="D139" s="13" t="s">
        <v>297</v>
      </c>
      <c r="E139" s="13" t="s">
        <v>1506</v>
      </c>
      <c r="F139" s="13" t="s">
        <v>1503</v>
      </c>
      <c r="G139" s="13" t="s">
        <v>0</v>
      </c>
      <c r="H139" s="13" t="s">
        <v>13</v>
      </c>
      <c r="I139" s="13">
        <v>-32768</v>
      </c>
      <c r="J139" s="13">
        <v>32767</v>
      </c>
      <c r="K139" s="13" t="s">
        <v>11</v>
      </c>
      <c r="L139" s="13"/>
      <c r="M139" s="18" t="s">
        <v>2246</v>
      </c>
    </row>
    <row r="140" spans="1:13" ht="21" x14ac:dyDescent="0.25">
      <c r="A140" s="13">
        <v>184</v>
      </c>
      <c r="B140" s="13">
        <f t="shared" si="4"/>
        <v>5185</v>
      </c>
      <c r="C140" s="2" t="str">
        <f t="shared" si="5"/>
        <v>I184</v>
      </c>
      <c r="D140" s="13" t="s">
        <v>298</v>
      </c>
      <c r="E140" s="13" t="s">
        <v>1505</v>
      </c>
      <c r="F140" s="13" t="s">
        <v>1504</v>
      </c>
      <c r="G140" s="13" t="s">
        <v>0</v>
      </c>
      <c r="H140" s="13" t="s">
        <v>13</v>
      </c>
      <c r="I140" s="13">
        <v>-32768</v>
      </c>
      <c r="J140" s="13">
        <v>32767</v>
      </c>
      <c r="K140" s="13" t="s">
        <v>11</v>
      </c>
      <c r="L140" s="13"/>
      <c r="M140" s="18" t="s">
        <v>2246</v>
      </c>
    </row>
    <row r="141" spans="1:13" ht="21" x14ac:dyDescent="0.25">
      <c r="A141" s="13">
        <v>185</v>
      </c>
      <c r="B141" s="13">
        <f t="shared" si="4"/>
        <v>5186</v>
      </c>
      <c r="C141" s="2" t="str">
        <f t="shared" si="5"/>
        <v>I185</v>
      </c>
      <c r="D141" s="13" t="s">
        <v>299</v>
      </c>
      <c r="E141" s="13" t="s">
        <v>569</v>
      </c>
      <c r="F141" s="13" t="s">
        <v>1507</v>
      </c>
      <c r="G141" s="13" t="s">
        <v>0</v>
      </c>
      <c r="H141" s="13" t="s">
        <v>13</v>
      </c>
      <c r="I141" s="13">
        <v>-32768</v>
      </c>
      <c r="J141" s="13">
        <v>32767</v>
      </c>
      <c r="K141" s="13" t="s">
        <v>11</v>
      </c>
      <c r="L141" s="13"/>
      <c r="M141" s="18" t="s">
        <v>2246</v>
      </c>
    </row>
    <row r="142" spans="1:13" ht="21" x14ac:dyDescent="0.25">
      <c r="A142" s="13">
        <v>186</v>
      </c>
      <c r="B142" s="13">
        <f t="shared" si="4"/>
        <v>5187</v>
      </c>
      <c r="C142" s="2" t="str">
        <f t="shared" si="5"/>
        <v>I186</v>
      </c>
      <c r="D142" s="13" t="s">
        <v>300</v>
      </c>
      <c r="E142" s="13" t="s">
        <v>570</v>
      </c>
      <c r="F142" s="13" t="s">
        <v>1508</v>
      </c>
      <c r="G142" s="13" t="s">
        <v>0</v>
      </c>
      <c r="H142" s="13" t="s">
        <v>13</v>
      </c>
      <c r="I142" s="13">
        <v>-32768</v>
      </c>
      <c r="J142" s="13">
        <v>32767</v>
      </c>
      <c r="K142" s="13" t="s">
        <v>11</v>
      </c>
      <c r="L142" s="13"/>
      <c r="M142" s="18" t="s">
        <v>2246</v>
      </c>
    </row>
    <row r="143" spans="1:13" ht="21" x14ac:dyDescent="0.25">
      <c r="A143" s="13">
        <v>187</v>
      </c>
      <c r="B143" s="13">
        <f t="shared" si="4"/>
        <v>5188</v>
      </c>
      <c r="C143" s="2" t="str">
        <f t="shared" si="5"/>
        <v>I187</v>
      </c>
      <c r="D143" s="13" t="s">
        <v>301</v>
      </c>
      <c r="E143" s="13" t="s">
        <v>571</v>
      </c>
      <c r="F143" s="13" t="s">
        <v>1509</v>
      </c>
      <c r="G143" s="13" t="s">
        <v>0</v>
      </c>
      <c r="H143" s="13" t="s">
        <v>13</v>
      </c>
      <c r="I143" s="13">
        <v>-32768</v>
      </c>
      <c r="J143" s="13">
        <v>32767</v>
      </c>
      <c r="K143" s="13" t="s">
        <v>11</v>
      </c>
      <c r="L143" s="13"/>
      <c r="M143" s="18" t="s">
        <v>2246</v>
      </c>
    </row>
    <row r="144" spans="1:13" ht="73.5" x14ac:dyDescent="0.25">
      <c r="A144" s="13">
        <v>197</v>
      </c>
      <c r="B144" s="13">
        <f t="shared" ref="B144:B199" si="6">A144+5001</f>
        <v>5198</v>
      </c>
      <c r="C144" s="2" t="str">
        <f t="shared" ref="C144:C199" si="7">"I"&amp;A144</f>
        <v>I197</v>
      </c>
      <c r="D144" s="13" t="s">
        <v>302</v>
      </c>
      <c r="E144" s="13" t="s">
        <v>2619</v>
      </c>
      <c r="F144" s="13" t="s">
        <v>2620</v>
      </c>
      <c r="G144" s="13" t="s">
        <v>0</v>
      </c>
      <c r="H144" s="13" t="s">
        <v>13</v>
      </c>
      <c r="I144" s="13">
        <v>0</v>
      </c>
      <c r="J144" s="13">
        <v>99</v>
      </c>
      <c r="K144" s="13" t="s">
        <v>11</v>
      </c>
      <c r="L144" s="13"/>
      <c r="M144" s="18" t="s">
        <v>2246</v>
      </c>
    </row>
    <row r="145" spans="1:13" x14ac:dyDescent="0.25">
      <c r="A145" s="13">
        <v>198</v>
      </c>
      <c r="B145" s="13">
        <f t="shared" si="6"/>
        <v>5199</v>
      </c>
      <c r="C145" s="2" t="str">
        <f t="shared" si="7"/>
        <v>I198</v>
      </c>
      <c r="D145" s="13" t="s">
        <v>873</v>
      </c>
      <c r="E145" s="13" t="s">
        <v>1510</v>
      </c>
      <c r="F145" s="13" t="s">
        <v>874</v>
      </c>
      <c r="G145" s="13" t="s">
        <v>0</v>
      </c>
      <c r="H145" s="13" t="s">
        <v>13</v>
      </c>
      <c r="I145" s="13">
        <v>0</v>
      </c>
      <c r="J145" s="13">
        <v>12</v>
      </c>
      <c r="K145" s="13" t="s">
        <v>16</v>
      </c>
      <c r="L145" s="13"/>
      <c r="M145" s="18" t="s">
        <v>2246</v>
      </c>
    </row>
    <row r="146" spans="1:13" x14ac:dyDescent="0.25">
      <c r="A146" s="13">
        <v>199</v>
      </c>
      <c r="B146" s="13">
        <f t="shared" si="6"/>
        <v>5200</v>
      </c>
      <c r="C146" s="2" t="str">
        <f t="shared" si="7"/>
        <v>I199</v>
      </c>
      <c r="D146" s="13" t="s">
        <v>875</v>
      </c>
      <c r="E146" s="13" t="s">
        <v>1511</v>
      </c>
      <c r="F146" s="13" t="s">
        <v>876</v>
      </c>
      <c r="G146" s="13" t="s">
        <v>0</v>
      </c>
      <c r="H146" s="13" t="s">
        <v>13</v>
      </c>
      <c r="I146" s="13">
        <v>0</v>
      </c>
      <c r="J146" s="13">
        <v>31</v>
      </c>
      <c r="K146" s="13" t="s">
        <v>16</v>
      </c>
      <c r="L146" s="13"/>
      <c r="M146" s="18" t="s">
        <v>2246</v>
      </c>
    </row>
    <row r="147" spans="1:13" x14ac:dyDescent="0.25">
      <c r="A147" s="13">
        <v>200</v>
      </c>
      <c r="B147" s="13">
        <f t="shared" si="6"/>
        <v>5201</v>
      </c>
      <c r="C147" s="2" t="str">
        <f t="shared" si="7"/>
        <v>I200</v>
      </c>
      <c r="D147" s="13" t="s">
        <v>877</v>
      </c>
      <c r="E147" s="13" t="s">
        <v>1513</v>
      </c>
      <c r="F147" s="13" t="s">
        <v>878</v>
      </c>
      <c r="G147" s="13" t="s">
        <v>0</v>
      </c>
      <c r="H147" s="13" t="s">
        <v>13</v>
      </c>
      <c r="I147" s="13">
        <v>0</v>
      </c>
      <c r="J147" s="13">
        <v>12</v>
      </c>
      <c r="K147" s="13" t="s">
        <v>16</v>
      </c>
      <c r="L147" s="13"/>
      <c r="M147" s="18" t="s">
        <v>2246</v>
      </c>
    </row>
    <row r="148" spans="1:13" x14ac:dyDescent="0.25">
      <c r="A148" s="13">
        <v>201</v>
      </c>
      <c r="B148" s="13">
        <f t="shared" si="6"/>
        <v>5202</v>
      </c>
      <c r="C148" s="2" t="str">
        <f t="shared" si="7"/>
        <v>I201</v>
      </c>
      <c r="D148" s="13" t="s">
        <v>879</v>
      </c>
      <c r="E148" s="13" t="s">
        <v>1514</v>
      </c>
      <c r="F148" s="13" t="s">
        <v>880</v>
      </c>
      <c r="G148" s="13" t="s">
        <v>45</v>
      </c>
      <c r="H148" s="13" t="s">
        <v>13</v>
      </c>
      <c r="I148" s="13">
        <v>0</v>
      </c>
      <c r="J148" s="13">
        <v>3</v>
      </c>
      <c r="K148" s="13" t="s">
        <v>16</v>
      </c>
      <c r="L148" s="13"/>
      <c r="M148" s="18" t="s">
        <v>2246</v>
      </c>
    </row>
    <row r="149" spans="1:13" x14ac:dyDescent="0.25">
      <c r="A149" s="13">
        <v>203</v>
      </c>
      <c r="B149" s="13">
        <f t="shared" si="6"/>
        <v>5204</v>
      </c>
      <c r="C149" s="2" t="str">
        <f t="shared" si="7"/>
        <v>I203</v>
      </c>
      <c r="D149" s="13" t="s">
        <v>881</v>
      </c>
      <c r="E149" s="13" t="s">
        <v>1515</v>
      </c>
      <c r="F149" s="13" t="s">
        <v>882</v>
      </c>
      <c r="G149" s="13" t="s">
        <v>0</v>
      </c>
      <c r="H149" s="13" t="s">
        <v>13</v>
      </c>
      <c r="I149" s="13">
        <v>0</v>
      </c>
      <c r="J149" s="13">
        <v>3</v>
      </c>
      <c r="K149" s="13" t="s">
        <v>16</v>
      </c>
      <c r="L149" s="13"/>
      <c r="M149" s="18" t="s">
        <v>2246</v>
      </c>
    </row>
    <row r="150" spans="1:13" ht="21" x14ac:dyDescent="0.25">
      <c r="A150" s="13">
        <v>204</v>
      </c>
      <c r="B150" s="13">
        <f t="shared" si="6"/>
        <v>5205</v>
      </c>
      <c r="C150" s="2" t="str">
        <f t="shared" si="7"/>
        <v>I204</v>
      </c>
      <c r="D150" s="13" t="s">
        <v>883</v>
      </c>
      <c r="E150" s="13" t="s">
        <v>1516</v>
      </c>
      <c r="F150" s="13" t="s">
        <v>884</v>
      </c>
      <c r="G150" s="13" t="s">
        <v>0</v>
      </c>
      <c r="H150" s="13" t="s">
        <v>13</v>
      </c>
      <c r="I150" s="13">
        <v>1</v>
      </c>
      <c r="J150" s="13">
        <v>31</v>
      </c>
      <c r="K150" s="13" t="s">
        <v>11</v>
      </c>
      <c r="L150" s="13"/>
      <c r="M150" s="18" t="s">
        <v>2246</v>
      </c>
    </row>
    <row r="151" spans="1:13" ht="21" x14ac:dyDescent="0.25">
      <c r="A151" s="13">
        <v>205</v>
      </c>
      <c r="B151" s="13">
        <f t="shared" si="6"/>
        <v>5206</v>
      </c>
      <c r="C151" s="2" t="str">
        <f t="shared" si="7"/>
        <v>I205</v>
      </c>
      <c r="D151" s="13" t="s">
        <v>885</v>
      </c>
      <c r="E151" s="13" t="s">
        <v>1517</v>
      </c>
      <c r="F151" s="13" t="s">
        <v>886</v>
      </c>
      <c r="G151" s="13" t="s">
        <v>0</v>
      </c>
      <c r="H151" s="13" t="s">
        <v>13</v>
      </c>
      <c r="I151" s="13">
        <v>1</v>
      </c>
      <c r="J151" s="13">
        <v>31</v>
      </c>
      <c r="K151" s="13" t="s">
        <v>11</v>
      </c>
      <c r="L151" s="13"/>
      <c r="M151" s="18" t="s">
        <v>2246</v>
      </c>
    </row>
    <row r="152" spans="1:13" x14ac:dyDescent="0.25">
      <c r="A152" s="13">
        <v>206</v>
      </c>
      <c r="B152" s="13">
        <f t="shared" si="6"/>
        <v>5207</v>
      </c>
      <c r="C152" s="2" t="str">
        <f t="shared" si="7"/>
        <v>I206</v>
      </c>
      <c r="D152" s="13" t="s">
        <v>887</v>
      </c>
      <c r="E152" s="13" t="s">
        <v>1518</v>
      </c>
      <c r="F152" s="13" t="s">
        <v>888</v>
      </c>
      <c r="G152" s="13" t="s">
        <v>0</v>
      </c>
      <c r="H152" s="13" t="s">
        <v>13</v>
      </c>
      <c r="I152" s="13">
        <v>0</v>
      </c>
      <c r="J152" s="13">
        <v>31</v>
      </c>
      <c r="K152" s="13" t="s">
        <v>16</v>
      </c>
      <c r="L152" s="13"/>
      <c r="M152" s="18" t="s">
        <v>2246</v>
      </c>
    </row>
    <row r="153" spans="1:13" x14ac:dyDescent="0.25">
      <c r="A153" s="13">
        <v>207</v>
      </c>
      <c r="B153" s="13">
        <f t="shared" si="6"/>
        <v>5208</v>
      </c>
      <c r="C153" s="2" t="str">
        <f t="shared" si="7"/>
        <v>I207</v>
      </c>
      <c r="D153" s="13" t="s">
        <v>889</v>
      </c>
      <c r="E153" s="13" t="s">
        <v>1519</v>
      </c>
      <c r="F153" s="13" t="s">
        <v>890</v>
      </c>
      <c r="G153" s="13" t="s">
        <v>0</v>
      </c>
      <c r="H153" s="13" t="s">
        <v>13</v>
      </c>
      <c r="I153" s="13">
        <v>0</v>
      </c>
      <c r="J153" s="13">
        <v>12</v>
      </c>
      <c r="K153" s="13" t="s">
        <v>16</v>
      </c>
      <c r="L153" s="13"/>
      <c r="M153" s="18" t="s">
        <v>2246</v>
      </c>
    </row>
    <row r="154" spans="1:13" x14ac:dyDescent="0.25">
      <c r="A154" s="13">
        <v>208</v>
      </c>
      <c r="B154" s="13">
        <f t="shared" si="6"/>
        <v>5209</v>
      </c>
      <c r="C154" s="2" t="str">
        <f t="shared" si="7"/>
        <v>I208</v>
      </c>
      <c r="D154" s="13" t="s">
        <v>891</v>
      </c>
      <c r="E154" s="13" t="s">
        <v>1512</v>
      </c>
      <c r="F154" s="13" t="s">
        <v>892</v>
      </c>
      <c r="G154" s="13" t="s">
        <v>0</v>
      </c>
      <c r="H154" s="13" t="s">
        <v>13</v>
      </c>
      <c r="I154" s="13">
        <v>0</v>
      </c>
      <c r="J154" s="13">
        <v>31</v>
      </c>
      <c r="K154" s="13" t="s">
        <v>16</v>
      </c>
      <c r="L154" s="13"/>
      <c r="M154" s="18" t="s">
        <v>2246</v>
      </c>
    </row>
    <row r="155" spans="1:13" x14ac:dyDescent="0.25">
      <c r="A155" s="13">
        <v>209</v>
      </c>
      <c r="B155" s="13">
        <f t="shared" si="6"/>
        <v>5210</v>
      </c>
      <c r="C155" s="2" t="str">
        <f t="shared" si="7"/>
        <v>I209</v>
      </c>
      <c r="D155" s="13" t="s">
        <v>893</v>
      </c>
      <c r="E155" s="13" t="s">
        <v>1520</v>
      </c>
      <c r="F155" s="13" t="s">
        <v>890</v>
      </c>
      <c r="G155" s="13" t="s">
        <v>0</v>
      </c>
      <c r="H155" s="13" t="s">
        <v>13</v>
      </c>
      <c r="I155" s="13">
        <v>0</v>
      </c>
      <c r="J155" s="13">
        <v>12</v>
      </c>
      <c r="K155" s="13" t="s">
        <v>16</v>
      </c>
      <c r="L155" s="13"/>
      <c r="M155" s="18" t="s">
        <v>2246</v>
      </c>
    </row>
    <row r="156" spans="1:13" x14ac:dyDescent="0.25">
      <c r="A156" s="13">
        <v>210</v>
      </c>
      <c r="B156" s="13">
        <f t="shared" si="6"/>
        <v>5211</v>
      </c>
      <c r="C156" s="2" t="str">
        <f t="shared" si="7"/>
        <v>I210</v>
      </c>
      <c r="D156" s="13" t="s">
        <v>894</v>
      </c>
      <c r="E156" s="13" t="s">
        <v>1521</v>
      </c>
      <c r="F156" s="13" t="s">
        <v>895</v>
      </c>
      <c r="G156" s="13" t="s">
        <v>45</v>
      </c>
      <c r="H156" s="13" t="s">
        <v>13</v>
      </c>
      <c r="I156" s="13">
        <v>0</v>
      </c>
      <c r="J156" s="13">
        <v>3</v>
      </c>
      <c r="K156" s="13" t="s">
        <v>16</v>
      </c>
      <c r="L156" s="13"/>
      <c r="M156" s="18" t="s">
        <v>2246</v>
      </c>
    </row>
    <row r="157" spans="1:13" x14ac:dyDescent="0.25">
      <c r="A157" s="13">
        <v>211</v>
      </c>
      <c r="B157" s="13">
        <f t="shared" si="6"/>
        <v>5212</v>
      </c>
      <c r="C157" s="2" t="str">
        <f t="shared" si="7"/>
        <v>I211</v>
      </c>
      <c r="D157" s="13" t="s">
        <v>896</v>
      </c>
      <c r="E157" s="13" t="s">
        <v>1523</v>
      </c>
      <c r="F157" s="13" t="s">
        <v>897</v>
      </c>
      <c r="G157" s="13" t="s">
        <v>45</v>
      </c>
      <c r="H157" s="13" t="s">
        <v>13</v>
      </c>
      <c r="I157" s="13">
        <v>0</v>
      </c>
      <c r="J157" s="13">
        <v>3</v>
      </c>
      <c r="K157" s="13" t="s">
        <v>16</v>
      </c>
      <c r="L157" s="13"/>
      <c r="M157" s="18" t="s">
        <v>2246</v>
      </c>
    </row>
    <row r="158" spans="1:13" ht="21" x14ac:dyDescent="0.25">
      <c r="A158" s="13">
        <v>212</v>
      </c>
      <c r="B158" s="13">
        <f t="shared" si="6"/>
        <v>5213</v>
      </c>
      <c r="C158" s="2" t="str">
        <f t="shared" si="7"/>
        <v>I212</v>
      </c>
      <c r="D158" s="13" t="s">
        <v>898</v>
      </c>
      <c r="E158" s="13" t="s">
        <v>1524</v>
      </c>
      <c r="F158" s="13" t="s">
        <v>899</v>
      </c>
      <c r="G158" s="13" t="s">
        <v>0</v>
      </c>
      <c r="H158" s="13" t="s">
        <v>13</v>
      </c>
      <c r="I158" s="13">
        <v>1</v>
      </c>
      <c r="J158" s="13">
        <v>31</v>
      </c>
      <c r="K158" s="13" t="s">
        <v>11</v>
      </c>
      <c r="L158" s="13"/>
      <c r="M158" s="18" t="s">
        <v>2246</v>
      </c>
    </row>
    <row r="159" spans="1:13" ht="21" x14ac:dyDescent="0.25">
      <c r="A159" s="13">
        <v>213</v>
      </c>
      <c r="B159" s="13">
        <f t="shared" si="6"/>
        <v>5214</v>
      </c>
      <c r="C159" s="2" t="str">
        <f t="shared" si="7"/>
        <v>I213</v>
      </c>
      <c r="D159" s="13" t="s">
        <v>900</v>
      </c>
      <c r="E159" s="13" t="s">
        <v>1525</v>
      </c>
      <c r="F159" s="13" t="s">
        <v>901</v>
      </c>
      <c r="G159" s="13" t="s">
        <v>0</v>
      </c>
      <c r="H159" s="13" t="s">
        <v>13</v>
      </c>
      <c r="I159" s="13">
        <v>1</v>
      </c>
      <c r="J159" s="13">
        <v>31</v>
      </c>
      <c r="K159" s="13" t="s">
        <v>11</v>
      </c>
      <c r="L159" s="13"/>
      <c r="M159" s="18" t="s">
        <v>2246</v>
      </c>
    </row>
    <row r="160" spans="1:13" x14ac:dyDescent="0.25">
      <c r="A160" s="13">
        <v>214</v>
      </c>
      <c r="B160" s="13">
        <f t="shared" si="6"/>
        <v>5215</v>
      </c>
      <c r="C160" s="2" t="str">
        <f t="shared" si="7"/>
        <v>I214</v>
      </c>
      <c r="D160" s="13" t="s">
        <v>902</v>
      </c>
      <c r="E160" s="13" t="s">
        <v>1526</v>
      </c>
      <c r="F160" s="13" t="s">
        <v>903</v>
      </c>
      <c r="G160" s="13" t="s">
        <v>0</v>
      </c>
      <c r="H160" s="13" t="s">
        <v>13</v>
      </c>
      <c r="I160" s="13">
        <v>0</v>
      </c>
      <c r="J160" s="13">
        <v>31</v>
      </c>
      <c r="K160" s="13" t="s">
        <v>16</v>
      </c>
      <c r="L160" s="13"/>
      <c r="M160" s="18" t="s">
        <v>2246</v>
      </c>
    </row>
    <row r="161" spans="1:13" x14ac:dyDescent="0.25">
      <c r="A161" s="13">
        <v>215</v>
      </c>
      <c r="B161" s="13">
        <f t="shared" si="6"/>
        <v>5216</v>
      </c>
      <c r="C161" s="2" t="str">
        <f t="shared" si="7"/>
        <v>I215</v>
      </c>
      <c r="D161" s="13" t="s">
        <v>904</v>
      </c>
      <c r="E161" s="13" t="s">
        <v>1527</v>
      </c>
      <c r="F161" s="13" t="s">
        <v>905</v>
      </c>
      <c r="G161" s="13" t="s">
        <v>0</v>
      </c>
      <c r="H161" s="13" t="s">
        <v>13</v>
      </c>
      <c r="I161" s="13">
        <v>0</v>
      </c>
      <c r="J161" s="13">
        <v>12</v>
      </c>
      <c r="K161" s="13" t="s">
        <v>16</v>
      </c>
      <c r="L161" s="13"/>
      <c r="M161" s="18" t="s">
        <v>2246</v>
      </c>
    </row>
    <row r="162" spans="1:13" x14ac:dyDescent="0.25">
      <c r="A162" s="13">
        <v>216</v>
      </c>
      <c r="B162" s="13">
        <f t="shared" si="6"/>
        <v>5217</v>
      </c>
      <c r="C162" s="2" t="str">
        <f t="shared" si="7"/>
        <v>I216</v>
      </c>
      <c r="D162" s="13" t="s">
        <v>906</v>
      </c>
      <c r="E162" s="13" t="s">
        <v>1528</v>
      </c>
      <c r="F162" s="13" t="s">
        <v>907</v>
      </c>
      <c r="G162" s="13" t="s">
        <v>0</v>
      </c>
      <c r="H162" s="13" t="s">
        <v>13</v>
      </c>
      <c r="I162" s="13">
        <v>0</v>
      </c>
      <c r="J162" s="13">
        <v>31</v>
      </c>
      <c r="K162" s="13" t="s">
        <v>16</v>
      </c>
      <c r="L162" s="13"/>
      <c r="M162" s="18" t="s">
        <v>2246</v>
      </c>
    </row>
    <row r="163" spans="1:13" x14ac:dyDescent="0.25">
      <c r="A163" s="13">
        <v>217</v>
      </c>
      <c r="B163" s="13">
        <f t="shared" si="6"/>
        <v>5218</v>
      </c>
      <c r="C163" s="2" t="str">
        <f t="shared" si="7"/>
        <v>I217</v>
      </c>
      <c r="D163" s="13" t="s">
        <v>908</v>
      </c>
      <c r="E163" s="13" t="s">
        <v>1529</v>
      </c>
      <c r="F163" s="13" t="s">
        <v>909</v>
      </c>
      <c r="G163" s="13" t="s">
        <v>0</v>
      </c>
      <c r="H163" s="13" t="s">
        <v>13</v>
      </c>
      <c r="I163" s="13">
        <v>0</v>
      </c>
      <c r="J163" s="13">
        <v>12</v>
      </c>
      <c r="K163" s="13" t="s">
        <v>16</v>
      </c>
      <c r="L163" s="13"/>
      <c r="M163" s="18" t="s">
        <v>2246</v>
      </c>
    </row>
    <row r="164" spans="1:13" x14ac:dyDescent="0.25">
      <c r="A164" s="13">
        <v>218</v>
      </c>
      <c r="B164" s="13">
        <f t="shared" si="6"/>
        <v>5219</v>
      </c>
      <c r="C164" s="2" t="str">
        <f t="shared" si="7"/>
        <v>I218</v>
      </c>
      <c r="D164" s="13" t="s">
        <v>910</v>
      </c>
      <c r="E164" s="13" t="s">
        <v>1522</v>
      </c>
      <c r="F164" s="13" t="s">
        <v>911</v>
      </c>
      <c r="G164" s="13" t="s">
        <v>0</v>
      </c>
      <c r="H164" s="13" t="s">
        <v>13</v>
      </c>
      <c r="I164" s="13">
        <v>0</v>
      </c>
      <c r="J164" s="13">
        <v>3</v>
      </c>
      <c r="K164" s="13" t="s">
        <v>16</v>
      </c>
      <c r="L164" s="13"/>
      <c r="M164" s="18" t="s">
        <v>2246</v>
      </c>
    </row>
    <row r="165" spans="1:13" ht="21" x14ac:dyDescent="0.25">
      <c r="A165" s="13">
        <v>219</v>
      </c>
      <c r="B165" s="13">
        <f t="shared" si="6"/>
        <v>5220</v>
      </c>
      <c r="C165" s="2" t="str">
        <f t="shared" si="7"/>
        <v>I219</v>
      </c>
      <c r="D165" s="13" t="s">
        <v>912</v>
      </c>
      <c r="E165" s="13" t="s">
        <v>1530</v>
      </c>
      <c r="F165" s="13" t="s">
        <v>913</v>
      </c>
      <c r="G165" s="13" t="s">
        <v>0</v>
      </c>
      <c r="H165" s="13" t="s">
        <v>13</v>
      </c>
      <c r="I165" s="13">
        <v>1</v>
      </c>
      <c r="J165" s="13">
        <v>31</v>
      </c>
      <c r="K165" s="13" t="s">
        <v>11</v>
      </c>
      <c r="L165" s="13"/>
      <c r="M165" s="18" t="s">
        <v>2246</v>
      </c>
    </row>
    <row r="166" spans="1:13" ht="21" x14ac:dyDescent="0.25">
      <c r="A166" s="13">
        <v>220</v>
      </c>
      <c r="B166" s="13">
        <f t="shared" si="6"/>
        <v>5221</v>
      </c>
      <c r="C166" s="2" t="str">
        <f t="shared" si="7"/>
        <v>I220</v>
      </c>
      <c r="D166" s="13" t="s">
        <v>914</v>
      </c>
      <c r="E166" s="13" t="s">
        <v>1531</v>
      </c>
      <c r="F166" s="13" t="s">
        <v>915</v>
      </c>
      <c r="G166" s="13" t="s">
        <v>0</v>
      </c>
      <c r="H166" s="13" t="s">
        <v>13</v>
      </c>
      <c r="I166" s="13">
        <v>1</v>
      </c>
      <c r="J166" s="13">
        <v>31</v>
      </c>
      <c r="K166" s="13" t="s">
        <v>11</v>
      </c>
      <c r="L166" s="13"/>
      <c r="M166" s="18" t="s">
        <v>2246</v>
      </c>
    </row>
    <row r="167" spans="1:13" x14ac:dyDescent="0.25">
      <c r="A167" s="13">
        <v>221</v>
      </c>
      <c r="B167" s="13">
        <f t="shared" si="6"/>
        <v>5222</v>
      </c>
      <c r="C167" s="2" t="str">
        <f t="shared" si="7"/>
        <v>I221</v>
      </c>
      <c r="D167" s="13" t="s">
        <v>916</v>
      </c>
      <c r="E167" s="13" t="s">
        <v>1532</v>
      </c>
      <c r="F167" s="13" t="s">
        <v>917</v>
      </c>
      <c r="G167" s="13" t="s">
        <v>0</v>
      </c>
      <c r="H167" s="13" t="s">
        <v>13</v>
      </c>
      <c r="I167" s="13">
        <v>0</v>
      </c>
      <c r="J167" s="13">
        <v>31</v>
      </c>
      <c r="K167" s="13" t="s">
        <v>16</v>
      </c>
      <c r="L167" s="13"/>
      <c r="M167" s="18" t="s">
        <v>2246</v>
      </c>
    </row>
    <row r="168" spans="1:13" x14ac:dyDescent="0.25">
      <c r="A168" s="13">
        <v>222</v>
      </c>
      <c r="B168" s="13">
        <f t="shared" si="6"/>
        <v>5223</v>
      </c>
      <c r="C168" s="2" t="str">
        <f t="shared" si="7"/>
        <v>I222</v>
      </c>
      <c r="D168" s="13" t="s">
        <v>918</v>
      </c>
      <c r="E168" s="13" t="s">
        <v>1533</v>
      </c>
      <c r="F168" s="13" t="s">
        <v>919</v>
      </c>
      <c r="G168" s="13" t="s">
        <v>0</v>
      </c>
      <c r="H168" s="13" t="s">
        <v>13</v>
      </c>
      <c r="I168" s="13">
        <v>0</v>
      </c>
      <c r="J168" s="13">
        <v>12</v>
      </c>
      <c r="K168" s="13" t="s">
        <v>16</v>
      </c>
      <c r="L168" s="13"/>
      <c r="M168" s="18" t="s">
        <v>2246</v>
      </c>
    </row>
    <row r="169" spans="1:13" x14ac:dyDescent="0.25">
      <c r="A169" s="13">
        <v>223</v>
      </c>
      <c r="B169" s="13">
        <f t="shared" si="6"/>
        <v>5224</v>
      </c>
      <c r="C169" s="2" t="str">
        <f t="shared" si="7"/>
        <v>I223</v>
      </c>
      <c r="D169" s="13" t="s">
        <v>920</v>
      </c>
      <c r="E169" s="13" t="s">
        <v>1534</v>
      </c>
      <c r="F169" s="13" t="s">
        <v>921</v>
      </c>
      <c r="G169" s="13" t="s">
        <v>45</v>
      </c>
      <c r="H169" s="13" t="s">
        <v>13</v>
      </c>
      <c r="I169" s="13">
        <v>0</v>
      </c>
      <c r="J169" s="13">
        <v>3</v>
      </c>
      <c r="K169" s="13" t="s">
        <v>16</v>
      </c>
      <c r="L169" s="13"/>
      <c r="M169" s="18" t="s">
        <v>2246</v>
      </c>
    </row>
    <row r="170" spans="1:13" x14ac:dyDescent="0.25">
      <c r="A170" s="13">
        <v>224</v>
      </c>
      <c r="B170" s="13">
        <f t="shared" si="6"/>
        <v>5225</v>
      </c>
      <c r="C170" s="2" t="str">
        <f t="shared" si="7"/>
        <v>I224</v>
      </c>
      <c r="D170" s="13" t="s">
        <v>922</v>
      </c>
      <c r="E170" s="13" t="s">
        <v>1535</v>
      </c>
      <c r="F170" s="13" t="s">
        <v>923</v>
      </c>
      <c r="G170" s="13" t="s">
        <v>0</v>
      </c>
      <c r="H170" s="13" t="s">
        <v>13</v>
      </c>
      <c r="I170" s="13">
        <v>0</v>
      </c>
      <c r="J170" s="13">
        <v>3</v>
      </c>
      <c r="K170" s="13" t="s">
        <v>16</v>
      </c>
      <c r="L170" s="13"/>
      <c r="M170" s="18" t="s">
        <v>2246</v>
      </c>
    </row>
    <row r="171" spans="1:13" ht="21" x14ac:dyDescent="0.25">
      <c r="A171" s="13">
        <v>225</v>
      </c>
      <c r="B171" s="13">
        <f t="shared" si="6"/>
        <v>5226</v>
      </c>
      <c r="C171" s="2" t="str">
        <f t="shared" si="7"/>
        <v>I225</v>
      </c>
      <c r="D171" s="13" t="s">
        <v>924</v>
      </c>
      <c r="E171" s="13" t="s">
        <v>1536</v>
      </c>
      <c r="F171" s="13" t="s">
        <v>925</v>
      </c>
      <c r="G171" s="13" t="s">
        <v>0</v>
      </c>
      <c r="H171" s="13" t="s">
        <v>13</v>
      </c>
      <c r="I171" s="13">
        <v>1</v>
      </c>
      <c r="J171" s="13">
        <v>31</v>
      </c>
      <c r="K171" s="13" t="s">
        <v>11</v>
      </c>
      <c r="L171" s="13"/>
      <c r="M171" s="18" t="s">
        <v>2246</v>
      </c>
    </row>
    <row r="172" spans="1:13" x14ac:dyDescent="0.25">
      <c r="A172" s="13">
        <v>226</v>
      </c>
      <c r="B172" s="13">
        <f t="shared" si="6"/>
        <v>5227</v>
      </c>
      <c r="C172" s="2" t="str">
        <f t="shared" si="7"/>
        <v>I226</v>
      </c>
      <c r="D172" s="13" t="s">
        <v>926</v>
      </c>
      <c r="E172" s="13" t="s">
        <v>1537</v>
      </c>
      <c r="F172" s="13" t="s">
        <v>927</v>
      </c>
      <c r="G172" s="13" t="s">
        <v>0</v>
      </c>
      <c r="H172" s="13" t="s">
        <v>13</v>
      </c>
      <c r="I172" s="13">
        <v>0</v>
      </c>
      <c r="J172" s="13">
        <v>31</v>
      </c>
      <c r="K172" s="13" t="s">
        <v>16</v>
      </c>
      <c r="L172" s="13"/>
      <c r="M172" s="18" t="s">
        <v>2246</v>
      </c>
    </row>
    <row r="173" spans="1:13" x14ac:dyDescent="0.25">
      <c r="A173" s="13">
        <v>227</v>
      </c>
      <c r="B173" s="13">
        <f t="shared" si="6"/>
        <v>5228</v>
      </c>
      <c r="C173" s="2" t="str">
        <f t="shared" si="7"/>
        <v>I227</v>
      </c>
      <c r="D173" s="13" t="s">
        <v>928</v>
      </c>
      <c r="E173" s="13" t="s">
        <v>1538</v>
      </c>
      <c r="F173" s="13" t="s">
        <v>929</v>
      </c>
      <c r="G173" s="13" t="s">
        <v>0</v>
      </c>
      <c r="H173" s="13" t="s">
        <v>13</v>
      </c>
      <c r="I173" s="13">
        <v>0</v>
      </c>
      <c r="J173" s="13">
        <v>12</v>
      </c>
      <c r="K173" s="13" t="s">
        <v>16</v>
      </c>
      <c r="L173" s="13"/>
      <c r="M173" s="18" t="s">
        <v>2246</v>
      </c>
    </row>
    <row r="174" spans="1:13" x14ac:dyDescent="0.25">
      <c r="A174" s="13">
        <v>228</v>
      </c>
      <c r="B174" s="13">
        <f t="shared" si="6"/>
        <v>5229</v>
      </c>
      <c r="C174" s="2" t="str">
        <f t="shared" si="7"/>
        <v>I228</v>
      </c>
      <c r="D174" s="13" t="s">
        <v>930</v>
      </c>
      <c r="E174" s="13" t="s">
        <v>1539</v>
      </c>
      <c r="F174" s="13" t="s">
        <v>931</v>
      </c>
      <c r="G174" s="13" t="s">
        <v>45</v>
      </c>
      <c r="H174" s="13" t="s">
        <v>13</v>
      </c>
      <c r="I174" s="13">
        <v>0</v>
      </c>
      <c r="J174" s="13">
        <v>3</v>
      </c>
      <c r="K174" s="13" t="s">
        <v>16</v>
      </c>
      <c r="L174" s="13"/>
      <c r="M174" s="18" t="s">
        <v>2246</v>
      </c>
    </row>
    <row r="175" spans="1:13" x14ac:dyDescent="0.25">
      <c r="A175" s="13">
        <v>229</v>
      </c>
      <c r="B175" s="13">
        <f t="shared" si="6"/>
        <v>5230</v>
      </c>
      <c r="C175" s="2" t="str">
        <f t="shared" si="7"/>
        <v>I229</v>
      </c>
      <c r="D175" s="13" t="s">
        <v>932</v>
      </c>
      <c r="E175" s="13" t="s">
        <v>1540</v>
      </c>
      <c r="F175" s="13" t="s">
        <v>933</v>
      </c>
      <c r="G175" s="13" t="s">
        <v>45</v>
      </c>
      <c r="H175" s="13" t="s">
        <v>13</v>
      </c>
      <c r="I175" s="13">
        <v>0</v>
      </c>
      <c r="J175" s="13">
        <v>3</v>
      </c>
      <c r="K175" s="13" t="s">
        <v>16</v>
      </c>
      <c r="L175" s="13"/>
      <c r="M175" s="18" t="s">
        <v>2246</v>
      </c>
    </row>
    <row r="176" spans="1:13" ht="21" x14ac:dyDescent="0.25">
      <c r="A176" s="13">
        <v>230</v>
      </c>
      <c r="B176" s="13">
        <f t="shared" si="6"/>
        <v>5231</v>
      </c>
      <c r="C176" s="2" t="str">
        <f t="shared" si="7"/>
        <v>I230</v>
      </c>
      <c r="D176" s="13" t="s">
        <v>934</v>
      </c>
      <c r="E176" s="13" t="s">
        <v>1541</v>
      </c>
      <c r="F176" s="13" t="s">
        <v>935</v>
      </c>
      <c r="G176" s="13" t="s">
        <v>0</v>
      </c>
      <c r="H176" s="13" t="s">
        <v>13</v>
      </c>
      <c r="I176" s="13">
        <v>1</v>
      </c>
      <c r="J176" s="13">
        <v>31</v>
      </c>
      <c r="K176" s="13" t="s">
        <v>16</v>
      </c>
      <c r="L176" s="13"/>
      <c r="M176" s="18" t="s">
        <v>2246</v>
      </c>
    </row>
    <row r="177" spans="1:13" x14ac:dyDescent="0.25">
      <c r="A177" s="13">
        <v>231</v>
      </c>
      <c r="B177" s="13">
        <f t="shared" si="6"/>
        <v>5232</v>
      </c>
      <c r="C177" s="2" t="str">
        <f t="shared" si="7"/>
        <v>I231</v>
      </c>
      <c r="D177" s="13" t="s">
        <v>936</v>
      </c>
      <c r="E177" s="13" t="s">
        <v>1542</v>
      </c>
      <c r="F177" s="13" t="s">
        <v>937</v>
      </c>
      <c r="G177" s="13" t="s">
        <v>0</v>
      </c>
      <c r="H177" s="13" t="s">
        <v>13</v>
      </c>
      <c r="I177" s="13">
        <v>0</v>
      </c>
      <c r="J177" s="13">
        <v>31</v>
      </c>
      <c r="K177" s="13" t="s">
        <v>16</v>
      </c>
      <c r="L177" s="13"/>
      <c r="M177" s="18" t="s">
        <v>2246</v>
      </c>
    </row>
    <row r="178" spans="1:13" x14ac:dyDescent="0.25">
      <c r="A178" s="13">
        <v>232</v>
      </c>
      <c r="B178" s="13">
        <f t="shared" si="6"/>
        <v>5233</v>
      </c>
      <c r="C178" s="2" t="str">
        <f t="shared" si="7"/>
        <v>I232</v>
      </c>
      <c r="D178" s="13" t="s">
        <v>938</v>
      </c>
      <c r="E178" s="13" t="s">
        <v>1543</v>
      </c>
      <c r="F178" s="13" t="s">
        <v>939</v>
      </c>
      <c r="G178" s="13" t="s">
        <v>0</v>
      </c>
      <c r="H178" s="13" t="s">
        <v>13</v>
      </c>
      <c r="I178" s="13">
        <v>0</v>
      </c>
      <c r="J178" s="13">
        <v>12</v>
      </c>
      <c r="K178" s="13" t="s">
        <v>16</v>
      </c>
      <c r="L178" s="13"/>
      <c r="M178" s="18" t="s">
        <v>2246</v>
      </c>
    </row>
    <row r="179" spans="1:13" x14ac:dyDescent="0.25">
      <c r="A179" s="13">
        <v>233</v>
      </c>
      <c r="B179" s="13">
        <f t="shared" si="6"/>
        <v>5234</v>
      </c>
      <c r="C179" s="2" t="str">
        <f t="shared" si="7"/>
        <v>I233</v>
      </c>
      <c r="D179" s="13" t="s">
        <v>940</v>
      </c>
      <c r="E179" s="13" t="s">
        <v>1544</v>
      </c>
      <c r="F179" s="13" t="s">
        <v>941</v>
      </c>
      <c r="G179" s="13" t="s">
        <v>45</v>
      </c>
      <c r="H179" s="13" t="s">
        <v>13</v>
      </c>
      <c r="I179" s="13">
        <v>0</v>
      </c>
      <c r="J179" s="13">
        <v>3</v>
      </c>
      <c r="K179" s="13" t="s">
        <v>16</v>
      </c>
      <c r="L179" s="13"/>
      <c r="M179" s="18" t="s">
        <v>2246</v>
      </c>
    </row>
    <row r="180" spans="1:13" x14ac:dyDescent="0.25">
      <c r="A180" s="13">
        <v>234</v>
      </c>
      <c r="B180" s="13">
        <f t="shared" si="6"/>
        <v>5235</v>
      </c>
      <c r="C180" s="2" t="str">
        <f t="shared" si="7"/>
        <v>I234</v>
      </c>
      <c r="D180" s="13" t="s">
        <v>942</v>
      </c>
      <c r="E180" s="13" t="s">
        <v>1545</v>
      </c>
      <c r="F180" s="13" t="s">
        <v>943</v>
      </c>
      <c r="G180" s="13" t="s">
        <v>45</v>
      </c>
      <c r="H180" s="13" t="s">
        <v>13</v>
      </c>
      <c r="I180" s="13">
        <v>0</v>
      </c>
      <c r="J180" s="13">
        <v>3</v>
      </c>
      <c r="K180" s="13" t="s">
        <v>16</v>
      </c>
      <c r="L180" s="13"/>
      <c r="M180" s="18" t="s">
        <v>2246</v>
      </c>
    </row>
    <row r="181" spans="1:13" ht="21" x14ac:dyDescent="0.25">
      <c r="A181" s="13">
        <v>235</v>
      </c>
      <c r="B181" s="13">
        <f t="shared" si="6"/>
        <v>5236</v>
      </c>
      <c r="C181" s="2" t="str">
        <f t="shared" si="7"/>
        <v>I235</v>
      </c>
      <c r="D181" s="13" t="s">
        <v>944</v>
      </c>
      <c r="E181" s="13" t="s">
        <v>1546</v>
      </c>
      <c r="F181" s="13" t="s">
        <v>945</v>
      </c>
      <c r="G181" s="13" t="s">
        <v>0</v>
      </c>
      <c r="H181" s="13" t="s">
        <v>13</v>
      </c>
      <c r="I181" s="13">
        <v>1</v>
      </c>
      <c r="J181" s="13">
        <v>31</v>
      </c>
      <c r="K181" s="13" t="s">
        <v>11</v>
      </c>
      <c r="L181" s="13"/>
      <c r="M181" s="18" t="s">
        <v>2246</v>
      </c>
    </row>
    <row r="182" spans="1:13" x14ac:dyDescent="0.25">
      <c r="A182" s="13">
        <v>236</v>
      </c>
      <c r="B182" s="13">
        <f t="shared" si="6"/>
        <v>5237</v>
      </c>
      <c r="C182" s="2" t="str">
        <f t="shared" si="7"/>
        <v>I236</v>
      </c>
      <c r="D182" s="13" t="s">
        <v>946</v>
      </c>
      <c r="E182" s="13" t="s">
        <v>1547</v>
      </c>
      <c r="F182" s="13" t="s">
        <v>947</v>
      </c>
      <c r="G182" s="13" t="s">
        <v>0</v>
      </c>
      <c r="H182" s="13" t="s">
        <v>13</v>
      </c>
      <c r="I182" s="13">
        <v>0</v>
      </c>
      <c r="J182" s="13">
        <v>31</v>
      </c>
      <c r="K182" s="13" t="s">
        <v>16</v>
      </c>
      <c r="L182" s="13"/>
      <c r="M182" s="18" t="s">
        <v>2246</v>
      </c>
    </row>
    <row r="183" spans="1:13" x14ac:dyDescent="0.25">
      <c r="A183" s="13">
        <v>237</v>
      </c>
      <c r="B183" s="13">
        <f t="shared" si="6"/>
        <v>5238</v>
      </c>
      <c r="C183" s="2" t="str">
        <f t="shared" si="7"/>
        <v>I237</v>
      </c>
      <c r="D183" s="13" t="s">
        <v>948</v>
      </c>
      <c r="E183" s="13" t="s">
        <v>1548</v>
      </c>
      <c r="F183" s="13" t="s">
        <v>949</v>
      </c>
      <c r="G183" s="13" t="s">
        <v>0</v>
      </c>
      <c r="H183" s="13" t="s">
        <v>13</v>
      </c>
      <c r="I183" s="13">
        <v>0</v>
      </c>
      <c r="J183" s="13">
        <v>12</v>
      </c>
      <c r="K183" s="13" t="s">
        <v>16</v>
      </c>
      <c r="L183" s="13"/>
      <c r="M183" s="18" t="s">
        <v>2246</v>
      </c>
    </row>
    <row r="184" spans="1:13" ht="21" x14ac:dyDescent="0.25">
      <c r="A184" s="13">
        <v>238</v>
      </c>
      <c r="B184" s="13">
        <f t="shared" si="6"/>
        <v>5239</v>
      </c>
      <c r="C184" s="2" t="str">
        <f t="shared" si="7"/>
        <v>I238</v>
      </c>
      <c r="D184" s="13" t="s">
        <v>950</v>
      </c>
      <c r="E184" s="13" t="s">
        <v>1549</v>
      </c>
      <c r="F184" s="13" t="s">
        <v>951</v>
      </c>
      <c r="G184" s="13" t="s">
        <v>0</v>
      </c>
      <c r="H184" s="13" t="s">
        <v>13</v>
      </c>
      <c r="I184" s="13">
        <v>1</v>
      </c>
      <c r="J184" s="13">
        <v>31</v>
      </c>
      <c r="K184" s="13" t="s">
        <v>11</v>
      </c>
      <c r="L184" s="13"/>
      <c r="M184" s="18" t="s">
        <v>2246</v>
      </c>
    </row>
    <row r="185" spans="1:13" x14ac:dyDescent="0.25">
      <c r="A185" s="13">
        <v>239</v>
      </c>
      <c r="B185" s="13">
        <f t="shared" si="6"/>
        <v>5240</v>
      </c>
      <c r="C185" s="2" t="str">
        <f t="shared" si="7"/>
        <v>I239</v>
      </c>
      <c r="D185" s="13" t="s">
        <v>952</v>
      </c>
      <c r="E185" s="13" t="s">
        <v>1550</v>
      </c>
      <c r="F185" s="13" t="s">
        <v>953</v>
      </c>
      <c r="G185" s="13" t="s">
        <v>45</v>
      </c>
      <c r="H185" s="13" t="s">
        <v>13</v>
      </c>
      <c r="I185" s="13">
        <v>0</v>
      </c>
      <c r="J185" s="13">
        <v>3</v>
      </c>
      <c r="K185" s="13" t="s">
        <v>16</v>
      </c>
      <c r="L185" s="13"/>
      <c r="M185" s="18" t="s">
        <v>2246</v>
      </c>
    </row>
    <row r="186" spans="1:13" x14ac:dyDescent="0.25">
      <c r="A186" s="13">
        <v>240</v>
      </c>
      <c r="B186" s="13">
        <f t="shared" si="6"/>
        <v>5241</v>
      </c>
      <c r="C186" s="2" t="str">
        <f t="shared" si="7"/>
        <v>I240</v>
      </c>
      <c r="D186" s="13" t="s">
        <v>954</v>
      </c>
      <c r="E186" s="13" t="s">
        <v>1551</v>
      </c>
      <c r="F186" s="13" t="s">
        <v>955</v>
      </c>
      <c r="G186" s="13" t="s">
        <v>45</v>
      </c>
      <c r="H186" s="13" t="s">
        <v>13</v>
      </c>
      <c r="I186" s="13">
        <v>0</v>
      </c>
      <c r="J186" s="13">
        <v>3</v>
      </c>
      <c r="K186" s="13" t="s">
        <v>16</v>
      </c>
      <c r="L186" s="13"/>
      <c r="M186" s="18" t="s">
        <v>2246</v>
      </c>
    </row>
    <row r="187" spans="1:13" x14ac:dyDescent="0.25">
      <c r="A187" s="13">
        <v>241</v>
      </c>
      <c r="B187" s="13">
        <f t="shared" si="6"/>
        <v>5242</v>
      </c>
      <c r="C187" s="2" t="str">
        <f t="shared" si="7"/>
        <v>I241</v>
      </c>
      <c r="D187" s="13" t="s">
        <v>956</v>
      </c>
      <c r="E187" s="13" t="s">
        <v>1552</v>
      </c>
      <c r="F187" s="13" t="s">
        <v>957</v>
      </c>
      <c r="G187" s="13" t="s">
        <v>0</v>
      </c>
      <c r="H187" s="13" t="s">
        <v>13</v>
      </c>
      <c r="I187" s="13">
        <v>0</v>
      </c>
      <c r="J187" s="13">
        <v>31</v>
      </c>
      <c r="K187" s="13" t="s">
        <v>16</v>
      </c>
      <c r="L187" s="13"/>
      <c r="M187" s="18" t="s">
        <v>2246</v>
      </c>
    </row>
    <row r="188" spans="1:13" x14ac:dyDescent="0.25">
      <c r="A188" s="13">
        <v>242</v>
      </c>
      <c r="B188" s="13">
        <f t="shared" si="6"/>
        <v>5243</v>
      </c>
      <c r="C188" s="2" t="str">
        <f t="shared" si="7"/>
        <v>I242</v>
      </c>
      <c r="D188" s="13" t="s">
        <v>958</v>
      </c>
      <c r="E188" s="13" t="s">
        <v>1553</v>
      </c>
      <c r="F188" s="13" t="s">
        <v>959</v>
      </c>
      <c r="G188" s="13" t="s">
        <v>0</v>
      </c>
      <c r="H188" s="13" t="s">
        <v>13</v>
      </c>
      <c r="I188" s="13">
        <v>0</v>
      </c>
      <c r="J188" s="13">
        <v>12</v>
      </c>
      <c r="K188" s="13" t="s">
        <v>16</v>
      </c>
      <c r="L188" s="13"/>
      <c r="M188" s="18" t="s">
        <v>2246</v>
      </c>
    </row>
    <row r="189" spans="1:13" ht="21" x14ac:dyDescent="0.25">
      <c r="A189" s="13">
        <v>243</v>
      </c>
      <c r="B189" s="13">
        <f t="shared" si="6"/>
        <v>5244</v>
      </c>
      <c r="C189" s="2" t="str">
        <f t="shared" si="7"/>
        <v>I243</v>
      </c>
      <c r="D189" s="13" t="s">
        <v>960</v>
      </c>
      <c r="E189" s="13" t="s">
        <v>1554</v>
      </c>
      <c r="F189" s="13" t="s">
        <v>961</v>
      </c>
      <c r="G189" s="13" t="s">
        <v>0</v>
      </c>
      <c r="H189" s="13" t="s">
        <v>13</v>
      </c>
      <c r="I189" s="13">
        <v>1</v>
      </c>
      <c r="J189" s="13">
        <v>31</v>
      </c>
      <c r="K189" s="13" t="s">
        <v>11</v>
      </c>
      <c r="L189" s="13"/>
      <c r="M189" s="18" t="s">
        <v>2246</v>
      </c>
    </row>
    <row r="190" spans="1:13" x14ac:dyDescent="0.25">
      <c r="A190" s="13">
        <v>244</v>
      </c>
      <c r="B190" s="13">
        <f t="shared" si="6"/>
        <v>5245</v>
      </c>
      <c r="C190" s="2" t="str">
        <f t="shared" si="7"/>
        <v>I244</v>
      </c>
      <c r="D190" s="13" t="s">
        <v>962</v>
      </c>
      <c r="E190" s="13" t="s">
        <v>1555</v>
      </c>
      <c r="F190" s="13" t="s">
        <v>963</v>
      </c>
      <c r="G190" s="13" t="s">
        <v>45</v>
      </c>
      <c r="H190" s="13" t="s">
        <v>13</v>
      </c>
      <c r="I190" s="13">
        <v>0</v>
      </c>
      <c r="J190" s="13">
        <v>3</v>
      </c>
      <c r="K190" s="13" t="s">
        <v>16</v>
      </c>
      <c r="L190" s="13"/>
      <c r="M190" s="18" t="s">
        <v>2246</v>
      </c>
    </row>
    <row r="191" spans="1:13" x14ac:dyDescent="0.25">
      <c r="A191" s="13">
        <v>245</v>
      </c>
      <c r="B191" s="13">
        <f t="shared" si="6"/>
        <v>5246</v>
      </c>
      <c r="C191" s="2" t="str">
        <f t="shared" si="7"/>
        <v>I245</v>
      </c>
      <c r="D191" s="13" t="s">
        <v>964</v>
      </c>
      <c r="E191" s="13" t="s">
        <v>1556</v>
      </c>
      <c r="F191" s="13" t="s">
        <v>965</v>
      </c>
      <c r="G191" s="13" t="s">
        <v>45</v>
      </c>
      <c r="H191" s="13" t="s">
        <v>13</v>
      </c>
      <c r="I191" s="13">
        <v>0</v>
      </c>
      <c r="J191" s="13">
        <v>3</v>
      </c>
      <c r="K191" s="13" t="s">
        <v>16</v>
      </c>
      <c r="L191" s="13"/>
      <c r="M191" s="18" t="s">
        <v>2246</v>
      </c>
    </row>
    <row r="192" spans="1:13" x14ac:dyDescent="0.25">
      <c r="A192" s="13">
        <v>246</v>
      </c>
      <c r="B192" s="13">
        <f t="shared" si="6"/>
        <v>5247</v>
      </c>
      <c r="C192" s="2" t="str">
        <f t="shared" si="7"/>
        <v>I246</v>
      </c>
      <c r="D192" s="13" t="s">
        <v>966</v>
      </c>
      <c r="E192" s="13" t="s">
        <v>1557</v>
      </c>
      <c r="F192" s="13" t="s">
        <v>967</v>
      </c>
      <c r="G192" s="13" t="s">
        <v>0</v>
      </c>
      <c r="H192" s="13" t="s">
        <v>13</v>
      </c>
      <c r="I192" s="13">
        <v>0</v>
      </c>
      <c r="J192" s="13">
        <v>31</v>
      </c>
      <c r="K192" s="13" t="s">
        <v>16</v>
      </c>
      <c r="L192" s="13"/>
      <c r="M192" s="18" t="s">
        <v>2246</v>
      </c>
    </row>
    <row r="193" spans="1:13" x14ac:dyDescent="0.25">
      <c r="A193" s="13">
        <v>247</v>
      </c>
      <c r="B193" s="13">
        <f t="shared" si="6"/>
        <v>5248</v>
      </c>
      <c r="C193" s="2" t="str">
        <f t="shared" si="7"/>
        <v>I247</v>
      </c>
      <c r="D193" s="13" t="s">
        <v>968</v>
      </c>
      <c r="E193" s="13" t="s">
        <v>1558</v>
      </c>
      <c r="F193" s="13" t="s">
        <v>969</v>
      </c>
      <c r="G193" s="13" t="s">
        <v>0</v>
      </c>
      <c r="H193" s="13" t="s">
        <v>13</v>
      </c>
      <c r="I193" s="13">
        <v>0</v>
      </c>
      <c r="J193" s="13">
        <v>12</v>
      </c>
      <c r="K193" s="13" t="s">
        <v>16</v>
      </c>
      <c r="L193" s="13"/>
      <c r="M193" s="18" t="s">
        <v>2246</v>
      </c>
    </row>
    <row r="194" spans="1:13" ht="21" x14ac:dyDescent="0.25">
      <c r="A194" s="13">
        <v>248</v>
      </c>
      <c r="B194" s="13">
        <f t="shared" si="6"/>
        <v>5249</v>
      </c>
      <c r="C194" s="2" t="str">
        <f t="shared" si="7"/>
        <v>I248</v>
      </c>
      <c r="D194" s="13" t="s">
        <v>970</v>
      </c>
      <c r="E194" s="13" t="s">
        <v>1559</v>
      </c>
      <c r="F194" s="13" t="s">
        <v>971</v>
      </c>
      <c r="G194" s="13" t="s">
        <v>0</v>
      </c>
      <c r="H194" s="13" t="s">
        <v>13</v>
      </c>
      <c r="I194" s="13">
        <v>1</v>
      </c>
      <c r="J194" s="13">
        <v>31</v>
      </c>
      <c r="K194" s="13" t="s">
        <v>11</v>
      </c>
      <c r="L194" s="13"/>
      <c r="M194" s="18" t="s">
        <v>2246</v>
      </c>
    </row>
    <row r="195" spans="1:13" x14ac:dyDescent="0.25">
      <c r="A195" s="13">
        <v>249</v>
      </c>
      <c r="B195" s="13">
        <f t="shared" si="6"/>
        <v>5250</v>
      </c>
      <c r="C195" s="2" t="str">
        <f t="shared" si="7"/>
        <v>I249</v>
      </c>
      <c r="D195" s="13" t="s">
        <v>972</v>
      </c>
      <c r="E195" s="13" t="s">
        <v>1560</v>
      </c>
      <c r="F195" s="13" t="s">
        <v>973</v>
      </c>
      <c r="G195" s="13" t="s">
        <v>45</v>
      </c>
      <c r="H195" s="13" t="s">
        <v>13</v>
      </c>
      <c r="I195" s="13">
        <v>0</v>
      </c>
      <c r="J195" s="13">
        <v>3</v>
      </c>
      <c r="K195" s="13" t="s">
        <v>16</v>
      </c>
      <c r="L195" s="13"/>
      <c r="M195" s="18" t="s">
        <v>2246</v>
      </c>
    </row>
    <row r="196" spans="1:13" x14ac:dyDescent="0.25">
      <c r="A196" s="13">
        <v>250</v>
      </c>
      <c r="B196" s="13">
        <f t="shared" si="6"/>
        <v>5251</v>
      </c>
      <c r="C196" s="2" t="str">
        <f t="shared" si="7"/>
        <v>I250</v>
      </c>
      <c r="D196" s="13" t="s">
        <v>974</v>
      </c>
      <c r="E196" s="13" t="s">
        <v>1561</v>
      </c>
      <c r="F196" s="13" t="s">
        <v>975</v>
      </c>
      <c r="G196" s="13" t="s">
        <v>45</v>
      </c>
      <c r="H196" s="13" t="s">
        <v>13</v>
      </c>
      <c r="I196" s="13">
        <v>0</v>
      </c>
      <c r="J196" s="13">
        <v>3</v>
      </c>
      <c r="K196" s="13" t="s">
        <v>16</v>
      </c>
      <c r="L196" s="13"/>
      <c r="M196" s="18" t="s">
        <v>2246</v>
      </c>
    </row>
    <row r="197" spans="1:13" ht="21" x14ac:dyDescent="0.25">
      <c r="A197" s="13">
        <v>253</v>
      </c>
      <c r="B197" s="13">
        <f t="shared" si="6"/>
        <v>5254</v>
      </c>
      <c r="C197" s="2" t="str">
        <f t="shared" si="7"/>
        <v>I253</v>
      </c>
      <c r="D197" s="13" t="s">
        <v>2648</v>
      </c>
      <c r="E197" s="13" t="s">
        <v>2651</v>
      </c>
      <c r="F197" s="13" t="s">
        <v>2653</v>
      </c>
      <c r="G197" s="13" t="s">
        <v>0</v>
      </c>
      <c r="H197" s="13" t="s">
        <v>780</v>
      </c>
      <c r="I197" s="13">
        <v>0</v>
      </c>
      <c r="J197" s="13">
        <v>9999</v>
      </c>
      <c r="K197" s="13" t="s">
        <v>11</v>
      </c>
      <c r="L197" s="13"/>
      <c r="M197" s="18" t="s">
        <v>2246</v>
      </c>
    </row>
    <row r="198" spans="1:13" ht="21" x14ac:dyDescent="0.25">
      <c r="A198" s="13">
        <v>254</v>
      </c>
      <c r="B198" s="13">
        <f t="shared" si="6"/>
        <v>5255</v>
      </c>
      <c r="C198" s="2" t="str">
        <f t="shared" si="7"/>
        <v>I254</v>
      </c>
      <c r="D198" s="13" t="s">
        <v>2649</v>
      </c>
      <c r="E198" s="13" t="s">
        <v>2650</v>
      </c>
      <c r="F198" s="13" t="s">
        <v>2652</v>
      </c>
      <c r="G198" s="13" t="s">
        <v>0</v>
      </c>
      <c r="H198" s="13" t="s">
        <v>13</v>
      </c>
      <c r="I198" s="13">
        <v>1</v>
      </c>
      <c r="J198" s="13">
        <v>100</v>
      </c>
      <c r="K198" s="13" t="s">
        <v>11</v>
      </c>
      <c r="L198" s="13"/>
      <c r="M198" s="18" t="s">
        <v>2246</v>
      </c>
    </row>
    <row r="199" spans="1:13" ht="21" x14ac:dyDescent="0.25">
      <c r="A199" s="13">
        <v>256</v>
      </c>
      <c r="B199" s="13">
        <f t="shared" si="6"/>
        <v>5257</v>
      </c>
      <c r="C199" s="2" t="str">
        <f t="shared" si="7"/>
        <v>I256</v>
      </c>
      <c r="D199" s="13" t="s">
        <v>976</v>
      </c>
      <c r="E199" s="13" t="s">
        <v>2654</v>
      </c>
      <c r="F199" s="13" t="s">
        <v>2655</v>
      </c>
      <c r="G199" s="13" t="s">
        <v>0</v>
      </c>
      <c r="H199" s="13" t="s">
        <v>13</v>
      </c>
      <c r="I199" s="13">
        <v>0</v>
      </c>
      <c r="J199" s="13">
        <v>9999</v>
      </c>
      <c r="K199" s="13" t="s">
        <v>11</v>
      </c>
      <c r="L199" s="13"/>
      <c r="M199" s="18" t="s">
        <v>2246</v>
      </c>
    </row>
    <row r="200" spans="1:13" ht="21" x14ac:dyDescent="0.25">
      <c r="A200" s="13">
        <v>259</v>
      </c>
      <c r="B200" s="13">
        <f t="shared" ref="B200:B229" si="8">A200+5001</f>
        <v>5260</v>
      </c>
      <c r="C200" s="2" t="str">
        <f t="shared" ref="C200:C229" si="9">"I"&amp;A200</f>
        <v>I259</v>
      </c>
      <c r="D200" s="13" t="s">
        <v>977</v>
      </c>
      <c r="E200" s="13" t="s">
        <v>2656</v>
      </c>
      <c r="F200" s="13" t="s">
        <v>2657</v>
      </c>
      <c r="G200" s="13" t="s">
        <v>0</v>
      </c>
      <c r="H200" s="13" t="s">
        <v>13</v>
      </c>
      <c r="I200" s="13">
        <v>0</v>
      </c>
      <c r="J200" s="13">
        <v>9999</v>
      </c>
      <c r="K200" s="13" t="s">
        <v>11</v>
      </c>
      <c r="L200" s="13"/>
      <c r="M200" s="18" t="s">
        <v>2246</v>
      </c>
    </row>
    <row r="201" spans="1:13" ht="31.5" x14ac:dyDescent="0.25">
      <c r="A201" s="13">
        <v>261</v>
      </c>
      <c r="B201" s="13">
        <f t="shared" si="8"/>
        <v>5262</v>
      </c>
      <c r="C201" s="2" t="str">
        <f t="shared" si="9"/>
        <v>I261</v>
      </c>
      <c r="D201" s="13" t="s">
        <v>978</v>
      </c>
      <c r="E201" s="13" t="s">
        <v>2658</v>
      </c>
      <c r="F201" s="13" t="s">
        <v>2659</v>
      </c>
      <c r="G201" s="13" t="s">
        <v>0</v>
      </c>
      <c r="H201" s="13" t="s">
        <v>13</v>
      </c>
      <c r="I201" s="13">
        <v>0</v>
      </c>
      <c r="J201" s="13">
        <v>5000</v>
      </c>
      <c r="K201" s="13" t="s">
        <v>16</v>
      </c>
      <c r="L201" s="13"/>
      <c r="M201" s="18" t="s">
        <v>2248</v>
      </c>
    </row>
    <row r="202" spans="1:13" x14ac:dyDescent="0.25">
      <c r="A202" s="13">
        <v>262</v>
      </c>
      <c r="B202" s="13">
        <f t="shared" si="8"/>
        <v>5263</v>
      </c>
      <c r="C202" s="2" t="str">
        <f t="shared" si="9"/>
        <v>I262</v>
      </c>
      <c r="D202" s="13" t="s">
        <v>979</v>
      </c>
      <c r="E202" s="13" t="s">
        <v>1562</v>
      </c>
      <c r="F202" s="13" t="s">
        <v>980</v>
      </c>
      <c r="G202" s="13" t="s">
        <v>0</v>
      </c>
      <c r="H202" s="13" t="s">
        <v>871</v>
      </c>
      <c r="I202" s="13">
        <v>0</v>
      </c>
      <c r="J202" s="13">
        <v>32767</v>
      </c>
      <c r="K202" s="13" t="s">
        <v>11</v>
      </c>
      <c r="L202" s="13"/>
      <c r="M202" s="18" t="s">
        <v>2246</v>
      </c>
    </row>
    <row r="203" spans="1:13" x14ac:dyDescent="0.25">
      <c r="A203" s="13">
        <v>263</v>
      </c>
      <c r="B203" s="13">
        <f t="shared" si="8"/>
        <v>5264</v>
      </c>
      <c r="C203" s="2" t="str">
        <f t="shared" si="9"/>
        <v>I263</v>
      </c>
      <c r="D203" s="13" t="s">
        <v>981</v>
      </c>
      <c r="E203" s="13" t="s">
        <v>2258</v>
      </c>
      <c r="F203" s="13" t="s">
        <v>2249</v>
      </c>
      <c r="G203" s="13" t="s">
        <v>0</v>
      </c>
      <c r="H203" s="13" t="s">
        <v>982</v>
      </c>
      <c r="I203" s="13">
        <v>0</v>
      </c>
      <c r="J203" s="13">
        <v>9999</v>
      </c>
      <c r="K203" s="13" t="s">
        <v>11</v>
      </c>
      <c r="L203" s="13"/>
      <c r="M203" s="18" t="s">
        <v>2246</v>
      </c>
    </row>
    <row r="204" spans="1:13" x14ac:dyDescent="0.25">
      <c r="A204" s="13">
        <v>264</v>
      </c>
      <c r="B204" s="13">
        <f t="shared" si="8"/>
        <v>5265</v>
      </c>
      <c r="C204" s="2" t="str">
        <f t="shared" si="9"/>
        <v>I264</v>
      </c>
      <c r="D204" s="13" t="s">
        <v>983</v>
      </c>
      <c r="E204" s="13" t="s">
        <v>2259</v>
      </c>
      <c r="F204" s="13" t="s">
        <v>2250</v>
      </c>
      <c r="G204" s="13" t="s">
        <v>0</v>
      </c>
      <c r="H204" s="13" t="s">
        <v>982</v>
      </c>
      <c r="I204" s="13">
        <v>0</v>
      </c>
      <c r="J204" s="13">
        <v>9999</v>
      </c>
      <c r="K204" s="13" t="s">
        <v>11</v>
      </c>
      <c r="L204" s="13"/>
      <c r="M204" s="18" t="s">
        <v>2246</v>
      </c>
    </row>
    <row r="205" spans="1:13" x14ac:dyDescent="0.25">
      <c r="A205" s="13">
        <v>265</v>
      </c>
      <c r="B205" s="13">
        <f t="shared" si="8"/>
        <v>5266</v>
      </c>
      <c r="C205" s="2" t="str">
        <f t="shared" si="9"/>
        <v>I265</v>
      </c>
      <c r="D205" s="13" t="s">
        <v>984</v>
      </c>
      <c r="E205" s="13" t="s">
        <v>2260</v>
      </c>
      <c r="F205" s="13" t="s">
        <v>2251</v>
      </c>
      <c r="G205" s="13" t="s">
        <v>0</v>
      </c>
      <c r="H205" s="13" t="s">
        <v>982</v>
      </c>
      <c r="I205" s="13">
        <v>0</v>
      </c>
      <c r="J205" s="13">
        <v>9999</v>
      </c>
      <c r="K205" s="13" t="s">
        <v>11</v>
      </c>
      <c r="L205" s="13"/>
      <c r="M205" s="18" t="s">
        <v>2246</v>
      </c>
    </row>
    <row r="206" spans="1:13" ht="21" x14ac:dyDescent="0.25">
      <c r="A206" s="13">
        <v>266</v>
      </c>
      <c r="B206" s="13">
        <f t="shared" si="8"/>
        <v>5267</v>
      </c>
      <c r="C206" s="2" t="str">
        <f t="shared" si="9"/>
        <v>I266</v>
      </c>
      <c r="D206" s="13" t="s">
        <v>985</v>
      </c>
      <c r="E206" s="13" t="s">
        <v>2252</v>
      </c>
      <c r="F206" s="13" t="s">
        <v>2252</v>
      </c>
      <c r="G206" s="13" t="s">
        <v>0</v>
      </c>
      <c r="H206" s="13" t="s">
        <v>982</v>
      </c>
      <c r="I206" s="13">
        <v>0</v>
      </c>
      <c r="J206" s="13">
        <v>9999</v>
      </c>
      <c r="K206" s="13" t="s">
        <v>11</v>
      </c>
      <c r="L206" s="13"/>
      <c r="M206" s="18" t="s">
        <v>2246</v>
      </c>
    </row>
    <row r="207" spans="1:13" x14ac:dyDescent="0.25">
      <c r="A207" s="13">
        <v>267</v>
      </c>
      <c r="B207" s="13">
        <f t="shared" si="8"/>
        <v>5268</v>
      </c>
      <c r="C207" s="2" t="str">
        <f t="shared" si="9"/>
        <v>I267</v>
      </c>
      <c r="D207" s="13" t="s">
        <v>986</v>
      </c>
      <c r="E207" s="13" t="s">
        <v>2261</v>
      </c>
      <c r="F207" s="13" t="s">
        <v>2253</v>
      </c>
      <c r="G207" s="13" t="s">
        <v>0</v>
      </c>
      <c r="H207" s="13" t="s">
        <v>982</v>
      </c>
      <c r="I207" s="13">
        <v>0</v>
      </c>
      <c r="J207" s="13">
        <v>9999</v>
      </c>
      <c r="K207" s="13" t="s">
        <v>11</v>
      </c>
      <c r="L207" s="13"/>
      <c r="M207" s="18" t="s">
        <v>2246</v>
      </c>
    </row>
    <row r="208" spans="1:13" x14ac:dyDescent="0.25">
      <c r="A208" s="13">
        <v>268</v>
      </c>
      <c r="B208" s="13">
        <f t="shared" si="8"/>
        <v>5269</v>
      </c>
      <c r="C208" s="2" t="str">
        <f t="shared" si="9"/>
        <v>I268</v>
      </c>
      <c r="D208" s="13" t="s">
        <v>987</v>
      </c>
      <c r="E208" s="13" t="s">
        <v>2262</v>
      </c>
      <c r="F208" s="13" t="s">
        <v>2254</v>
      </c>
      <c r="G208" s="13" t="s">
        <v>0</v>
      </c>
      <c r="H208" s="13" t="s">
        <v>982</v>
      </c>
      <c r="I208" s="13">
        <v>0</v>
      </c>
      <c r="J208" s="13">
        <v>9999</v>
      </c>
      <c r="K208" s="13" t="s">
        <v>11</v>
      </c>
      <c r="L208" s="13"/>
      <c r="M208" s="18" t="s">
        <v>2246</v>
      </c>
    </row>
    <row r="209" spans="1:13" x14ac:dyDescent="0.25">
      <c r="A209" s="13">
        <v>269</v>
      </c>
      <c r="B209" s="13">
        <f t="shared" si="8"/>
        <v>5270</v>
      </c>
      <c r="C209" s="2" t="str">
        <f t="shared" si="9"/>
        <v>I269</v>
      </c>
      <c r="D209" s="13" t="s">
        <v>988</v>
      </c>
      <c r="E209" s="13" t="s">
        <v>2263</v>
      </c>
      <c r="F209" s="13" t="s">
        <v>2255</v>
      </c>
      <c r="G209" s="13" t="s">
        <v>0</v>
      </c>
      <c r="H209" s="13" t="s">
        <v>982</v>
      </c>
      <c r="I209" s="13">
        <v>0</v>
      </c>
      <c r="J209" s="13">
        <v>9999</v>
      </c>
      <c r="K209" s="13" t="s">
        <v>11</v>
      </c>
      <c r="L209" s="13"/>
      <c r="M209" s="18" t="s">
        <v>2246</v>
      </c>
    </row>
    <row r="210" spans="1:13" x14ac:dyDescent="0.25">
      <c r="A210" s="13">
        <v>270</v>
      </c>
      <c r="B210" s="13">
        <f t="shared" si="8"/>
        <v>5271</v>
      </c>
      <c r="C210" s="2" t="str">
        <f t="shared" si="9"/>
        <v>I270</v>
      </c>
      <c r="D210" s="13" t="s">
        <v>989</v>
      </c>
      <c r="E210" s="13" t="s">
        <v>2264</v>
      </c>
      <c r="F210" s="13" t="s">
        <v>2256</v>
      </c>
      <c r="G210" s="13" t="s">
        <v>0</v>
      </c>
      <c r="H210" s="13" t="s">
        <v>982</v>
      </c>
      <c r="I210" s="13">
        <v>0</v>
      </c>
      <c r="J210" s="13">
        <v>9999</v>
      </c>
      <c r="K210" s="13" t="s">
        <v>11</v>
      </c>
      <c r="L210" s="13"/>
      <c r="M210" s="18" t="s">
        <v>2246</v>
      </c>
    </row>
    <row r="211" spans="1:13" x14ac:dyDescent="0.25">
      <c r="A211" s="13">
        <v>271</v>
      </c>
      <c r="B211" s="13">
        <f t="shared" si="8"/>
        <v>5272</v>
      </c>
      <c r="C211" s="2" t="str">
        <f t="shared" si="9"/>
        <v>I271</v>
      </c>
      <c r="D211" s="13" t="s">
        <v>990</v>
      </c>
      <c r="E211" s="13" t="s">
        <v>2265</v>
      </c>
      <c r="F211" s="13" t="s">
        <v>2257</v>
      </c>
      <c r="G211" s="13" t="s">
        <v>0</v>
      </c>
      <c r="H211" s="13" t="s">
        <v>982</v>
      </c>
      <c r="I211" s="13">
        <v>0</v>
      </c>
      <c r="J211" s="13">
        <v>9999</v>
      </c>
      <c r="K211" s="13" t="s">
        <v>11</v>
      </c>
      <c r="L211" s="13"/>
      <c r="M211" s="18" t="s">
        <v>2246</v>
      </c>
    </row>
    <row r="212" spans="1:13" ht="21" x14ac:dyDescent="0.25">
      <c r="A212" s="13">
        <v>280</v>
      </c>
      <c r="B212" s="13">
        <f t="shared" si="8"/>
        <v>5281</v>
      </c>
      <c r="C212" s="2" t="str">
        <f t="shared" si="9"/>
        <v>I280</v>
      </c>
      <c r="D212" s="13" t="s">
        <v>991</v>
      </c>
      <c r="E212" s="13" t="s">
        <v>2661</v>
      </c>
      <c r="F212" s="13" t="s">
        <v>2662</v>
      </c>
      <c r="G212" s="13" t="s">
        <v>0</v>
      </c>
      <c r="H212" s="13" t="s">
        <v>13</v>
      </c>
      <c r="I212" s="13">
        <v>-32768</v>
      </c>
      <c r="J212" s="13">
        <v>32767</v>
      </c>
      <c r="K212" s="13" t="s">
        <v>16</v>
      </c>
      <c r="L212" s="13"/>
      <c r="M212" s="18" t="s">
        <v>2248</v>
      </c>
    </row>
    <row r="213" spans="1:13" ht="21" x14ac:dyDescent="0.25">
      <c r="A213" s="13">
        <v>281</v>
      </c>
      <c r="B213" s="13">
        <f t="shared" si="8"/>
        <v>5282</v>
      </c>
      <c r="C213" s="2" t="str">
        <f t="shared" si="9"/>
        <v>I281</v>
      </c>
      <c r="D213" s="13" t="s">
        <v>992</v>
      </c>
      <c r="E213" s="13" t="s">
        <v>2663</v>
      </c>
      <c r="F213" s="13" t="s">
        <v>2664</v>
      </c>
      <c r="G213" s="13" t="s">
        <v>0</v>
      </c>
      <c r="H213" s="13" t="s">
        <v>13</v>
      </c>
      <c r="I213" s="13">
        <v>0</v>
      </c>
      <c r="J213" s="13">
        <v>100</v>
      </c>
      <c r="K213" s="13" t="s">
        <v>16</v>
      </c>
      <c r="L213" s="13"/>
      <c r="M213" s="18" t="s">
        <v>2248</v>
      </c>
    </row>
    <row r="214" spans="1:13" ht="21" x14ac:dyDescent="0.25">
      <c r="A214" s="13">
        <v>283</v>
      </c>
      <c r="B214" s="13">
        <f t="shared" si="8"/>
        <v>5284</v>
      </c>
      <c r="C214" s="2" t="str">
        <f t="shared" si="9"/>
        <v>I283</v>
      </c>
      <c r="D214" s="13" t="s">
        <v>993</v>
      </c>
      <c r="E214" s="13" t="s">
        <v>2665</v>
      </c>
      <c r="F214" s="13" t="s">
        <v>2666</v>
      </c>
      <c r="G214" s="13" t="s">
        <v>0</v>
      </c>
      <c r="H214" s="13" t="s">
        <v>18</v>
      </c>
      <c r="I214" s="13">
        <v>1</v>
      </c>
      <c r="J214" s="13">
        <v>9999</v>
      </c>
      <c r="K214" s="13" t="s">
        <v>16</v>
      </c>
      <c r="L214" s="13"/>
      <c r="M214" s="18" t="s">
        <v>2248</v>
      </c>
    </row>
    <row r="215" spans="1:13" ht="42" x14ac:dyDescent="0.25">
      <c r="A215" s="13">
        <v>284</v>
      </c>
      <c r="B215" s="13">
        <f t="shared" si="8"/>
        <v>5285</v>
      </c>
      <c r="C215" s="2" t="str">
        <f t="shared" si="9"/>
        <v>I284</v>
      </c>
      <c r="D215" s="13" t="s">
        <v>994</v>
      </c>
      <c r="E215" s="13" t="s">
        <v>2667</v>
      </c>
      <c r="F215" s="13" t="s">
        <v>2670</v>
      </c>
      <c r="G215" s="13" t="s">
        <v>0</v>
      </c>
      <c r="H215" s="13" t="s">
        <v>13</v>
      </c>
      <c r="I215" s="13">
        <v>1</v>
      </c>
      <c r="J215" s="13">
        <v>9999</v>
      </c>
      <c r="K215" s="13" t="s">
        <v>16</v>
      </c>
      <c r="L215" s="13"/>
      <c r="M215" s="18" t="s">
        <v>2248</v>
      </c>
    </row>
    <row r="216" spans="1:13" ht="42" x14ac:dyDescent="0.25">
      <c r="A216" s="13">
        <v>285</v>
      </c>
      <c r="B216" s="13">
        <f t="shared" si="8"/>
        <v>5286</v>
      </c>
      <c r="C216" s="2" t="str">
        <f t="shared" si="9"/>
        <v>I285</v>
      </c>
      <c r="D216" s="13" t="s">
        <v>995</v>
      </c>
      <c r="E216" s="13" t="s">
        <v>2668</v>
      </c>
      <c r="F216" s="13" t="s">
        <v>2669</v>
      </c>
      <c r="G216" s="13" t="s">
        <v>0</v>
      </c>
      <c r="H216" s="13" t="s">
        <v>13</v>
      </c>
      <c r="I216" s="13">
        <v>1</v>
      </c>
      <c r="J216" s="13">
        <v>9999</v>
      </c>
      <c r="K216" s="13" t="s">
        <v>16</v>
      </c>
      <c r="L216" s="13"/>
      <c r="M216" s="18" t="s">
        <v>2248</v>
      </c>
    </row>
    <row r="217" spans="1:13" ht="31.5" x14ac:dyDescent="0.25">
      <c r="A217" s="13">
        <v>292</v>
      </c>
      <c r="B217" s="13">
        <f t="shared" si="8"/>
        <v>5293</v>
      </c>
      <c r="C217" s="2" t="str">
        <f t="shared" si="9"/>
        <v>I292</v>
      </c>
      <c r="D217" s="13" t="s">
        <v>996</v>
      </c>
      <c r="E217" s="13" t="s">
        <v>2675</v>
      </c>
      <c r="F217" s="13" t="s">
        <v>2680</v>
      </c>
      <c r="G217" s="13" t="s">
        <v>0</v>
      </c>
      <c r="H217" s="13" t="s">
        <v>13</v>
      </c>
      <c r="I217" s="13">
        <v>0</v>
      </c>
      <c r="J217" s="13">
        <v>9999</v>
      </c>
      <c r="K217" s="13" t="s">
        <v>16</v>
      </c>
      <c r="L217" s="13"/>
      <c r="M217" s="18" t="s">
        <v>2248</v>
      </c>
    </row>
    <row r="218" spans="1:13" ht="21" x14ac:dyDescent="0.25">
      <c r="A218" s="13">
        <v>293</v>
      </c>
      <c r="B218" s="13">
        <f t="shared" si="8"/>
        <v>5294</v>
      </c>
      <c r="C218" s="2" t="str">
        <f t="shared" si="9"/>
        <v>I293</v>
      </c>
      <c r="D218" s="13" t="s">
        <v>997</v>
      </c>
      <c r="E218" s="13" t="s">
        <v>2676</v>
      </c>
      <c r="F218" s="13" t="s">
        <v>2681</v>
      </c>
      <c r="G218" s="13" t="s">
        <v>0</v>
      </c>
      <c r="H218" s="13" t="s">
        <v>13</v>
      </c>
      <c r="I218" s="13">
        <v>0</v>
      </c>
      <c r="J218" s="13">
        <v>9999</v>
      </c>
      <c r="K218" s="13" t="s">
        <v>16</v>
      </c>
      <c r="L218" s="13"/>
      <c r="M218" s="18" t="s">
        <v>2248</v>
      </c>
    </row>
    <row r="219" spans="1:13" x14ac:dyDescent="0.25">
      <c r="A219" s="13">
        <v>300</v>
      </c>
      <c r="B219" s="13">
        <f t="shared" si="8"/>
        <v>5301</v>
      </c>
      <c r="C219" s="2" t="str">
        <f t="shared" si="9"/>
        <v>I300</v>
      </c>
      <c r="D219" s="13" t="s">
        <v>998</v>
      </c>
      <c r="E219" s="13" t="s">
        <v>999</v>
      </c>
      <c r="F219" s="13" t="s">
        <v>1563</v>
      </c>
      <c r="G219" s="13" t="s">
        <v>0</v>
      </c>
      <c r="H219" s="13" t="s">
        <v>13</v>
      </c>
      <c r="I219" s="13">
        <v>-32768</v>
      </c>
      <c r="J219" s="13">
        <v>32767</v>
      </c>
      <c r="K219" s="13" t="s">
        <v>11</v>
      </c>
      <c r="L219" s="13"/>
      <c r="M219" s="18"/>
    </row>
    <row r="220" spans="1:13" x14ac:dyDescent="0.25">
      <c r="A220" s="13">
        <v>301</v>
      </c>
      <c r="B220" s="13">
        <f t="shared" si="8"/>
        <v>5302</v>
      </c>
      <c r="C220" s="2" t="str">
        <f t="shared" si="9"/>
        <v>I301</v>
      </c>
      <c r="D220" s="13" t="s">
        <v>1000</v>
      </c>
      <c r="E220" s="13" t="s">
        <v>1001</v>
      </c>
      <c r="F220" s="13" t="s">
        <v>1564</v>
      </c>
      <c r="G220" s="13" t="s">
        <v>0</v>
      </c>
      <c r="H220" s="13" t="s">
        <v>13</v>
      </c>
      <c r="I220" s="13">
        <v>-32768</v>
      </c>
      <c r="J220" s="13">
        <v>32767</v>
      </c>
      <c r="K220" s="13" t="s">
        <v>11</v>
      </c>
      <c r="L220" s="13"/>
      <c r="M220" s="18"/>
    </row>
    <row r="221" spans="1:13" ht="21" x14ac:dyDescent="0.25">
      <c r="A221" s="13">
        <v>302</v>
      </c>
      <c r="B221" s="13">
        <f t="shared" si="8"/>
        <v>5303</v>
      </c>
      <c r="C221" s="2" t="str">
        <f t="shared" si="9"/>
        <v>I302</v>
      </c>
      <c r="D221" s="13" t="s">
        <v>1002</v>
      </c>
      <c r="E221" s="13" t="s">
        <v>2677</v>
      </c>
      <c r="F221" s="13" t="s">
        <v>2678</v>
      </c>
      <c r="G221" s="13" t="s">
        <v>81</v>
      </c>
      <c r="H221" s="13" t="s">
        <v>756</v>
      </c>
      <c r="I221" s="13">
        <v>0</v>
      </c>
      <c r="J221" s="13">
        <v>999</v>
      </c>
      <c r="K221" s="13" t="s">
        <v>16</v>
      </c>
      <c r="L221" s="13"/>
      <c r="M221" s="18" t="s">
        <v>2248</v>
      </c>
    </row>
    <row r="222" spans="1:13" ht="21" x14ac:dyDescent="0.25">
      <c r="A222" s="13">
        <v>303</v>
      </c>
      <c r="B222" s="13">
        <f t="shared" si="8"/>
        <v>5304</v>
      </c>
      <c r="C222" s="2" t="str">
        <f t="shared" si="9"/>
        <v>I303</v>
      </c>
      <c r="D222" s="13" t="s">
        <v>1003</v>
      </c>
      <c r="E222" s="13" t="s">
        <v>1004</v>
      </c>
      <c r="F222" s="13" t="s">
        <v>2679</v>
      </c>
      <c r="G222" s="13" t="s">
        <v>81</v>
      </c>
      <c r="H222" s="13" t="s">
        <v>756</v>
      </c>
      <c r="I222" s="13">
        <v>0</v>
      </c>
      <c r="J222" s="13">
        <v>999</v>
      </c>
      <c r="K222" s="13" t="s">
        <v>16</v>
      </c>
      <c r="L222" s="13"/>
      <c r="M222" s="18" t="s">
        <v>2248</v>
      </c>
    </row>
    <row r="223" spans="1:13" ht="21" x14ac:dyDescent="0.25">
      <c r="A223" s="13">
        <v>304</v>
      </c>
      <c r="B223" s="13">
        <f t="shared" si="8"/>
        <v>5305</v>
      </c>
      <c r="C223" s="2" t="str">
        <f t="shared" si="9"/>
        <v>I304</v>
      </c>
      <c r="D223" s="13" t="s">
        <v>1005</v>
      </c>
      <c r="E223" s="13" t="s">
        <v>2674</v>
      </c>
      <c r="F223" s="13" t="s">
        <v>1565</v>
      </c>
      <c r="G223" s="13" t="s">
        <v>81</v>
      </c>
      <c r="H223" s="13" t="s">
        <v>13</v>
      </c>
      <c r="I223" s="13">
        <v>0</v>
      </c>
      <c r="J223" s="13">
        <v>999</v>
      </c>
      <c r="K223" s="13" t="s">
        <v>16</v>
      </c>
      <c r="L223" s="13"/>
      <c r="M223" s="18" t="s">
        <v>2248</v>
      </c>
    </row>
    <row r="224" spans="1:13" ht="21" x14ac:dyDescent="0.25">
      <c r="A224" s="13">
        <v>305</v>
      </c>
      <c r="B224" s="13">
        <f t="shared" si="8"/>
        <v>5306</v>
      </c>
      <c r="C224" s="2" t="str">
        <f t="shared" si="9"/>
        <v>I305</v>
      </c>
      <c r="D224" s="13" t="s">
        <v>1006</v>
      </c>
      <c r="E224" s="13" t="s">
        <v>2673</v>
      </c>
      <c r="F224" s="13" t="s">
        <v>1566</v>
      </c>
      <c r="G224" s="13" t="s">
        <v>81</v>
      </c>
      <c r="H224" s="13" t="s">
        <v>13</v>
      </c>
      <c r="I224" s="13">
        <v>0</v>
      </c>
      <c r="J224" s="13">
        <v>999</v>
      </c>
      <c r="K224" s="13" t="s">
        <v>16</v>
      </c>
      <c r="L224" s="13"/>
      <c r="M224" s="18" t="s">
        <v>2248</v>
      </c>
    </row>
    <row r="225" spans="1:13" ht="21" x14ac:dyDescent="0.25">
      <c r="A225" s="13">
        <v>306</v>
      </c>
      <c r="B225" s="13">
        <f t="shared" si="8"/>
        <v>5307</v>
      </c>
      <c r="C225" s="2" t="str">
        <f t="shared" si="9"/>
        <v>I306</v>
      </c>
      <c r="D225" s="13" t="s">
        <v>1007</v>
      </c>
      <c r="E225" s="13" t="s">
        <v>2671</v>
      </c>
      <c r="F225" s="13" t="s">
        <v>2672</v>
      </c>
      <c r="G225" s="13" t="s">
        <v>81</v>
      </c>
      <c r="H225" s="13" t="s">
        <v>756</v>
      </c>
      <c r="I225" s="13">
        <v>0</v>
      </c>
      <c r="J225" s="13">
        <v>32000</v>
      </c>
      <c r="K225" s="13" t="s">
        <v>16</v>
      </c>
      <c r="L225" s="13"/>
      <c r="M225" s="18" t="s">
        <v>2248</v>
      </c>
    </row>
    <row r="226" spans="1:13" ht="21" x14ac:dyDescent="0.25">
      <c r="A226" s="13">
        <v>307</v>
      </c>
      <c r="B226" s="13">
        <f t="shared" si="8"/>
        <v>5308</v>
      </c>
      <c r="C226" s="2" t="str">
        <f t="shared" si="9"/>
        <v>I307</v>
      </c>
      <c r="D226" s="13" t="s">
        <v>1008</v>
      </c>
      <c r="E226" s="13" t="s">
        <v>1567</v>
      </c>
      <c r="F226" s="13" t="s">
        <v>1009</v>
      </c>
      <c r="G226" s="13" t="s">
        <v>0</v>
      </c>
      <c r="H226" s="13" t="s">
        <v>13</v>
      </c>
      <c r="I226" s="13">
        <v>0</v>
      </c>
      <c r="J226" s="13">
        <v>1000</v>
      </c>
      <c r="K226" s="13" t="s">
        <v>16</v>
      </c>
      <c r="L226" s="13"/>
      <c r="M226" s="18"/>
    </row>
    <row r="227" spans="1:13" ht="21" x14ac:dyDescent="0.25">
      <c r="A227" s="13">
        <v>308</v>
      </c>
      <c r="B227" s="13">
        <f t="shared" si="8"/>
        <v>5309</v>
      </c>
      <c r="C227" s="2" t="str">
        <f t="shared" si="9"/>
        <v>I308</v>
      </c>
      <c r="D227" s="13" t="s">
        <v>1010</v>
      </c>
      <c r="E227" s="13" t="s">
        <v>1568</v>
      </c>
      <c r="F227" s="13" t="s">
        <v>1011</v>
      </c>
      <c r="G227" s="13" t="s">
        <v>0</v>
      </c>
      <c r="H227" s="13" t="s">
        <v>13</v>
      </c>
      <c r="I227" s="13">
        <v>0</v>
      </c>
      <c r="J227" s="13">
        <v>1000</v>
      </c>
      <c r="K227" s="13" t="s">
        <v>16</v>
      </c>
      <c r="L227" s="13"/>
      <c r="M227" s="18"/>
    </row>
    <row r="228" spans="1:13" ht="21" x14ac:dyDescent="0.25">
      <c r="A228" s="13">
        <v>309</v>
      </c>
      <c r="B228" s="13">
        <f t="shared" si="8"/>
        <v>5310</v>
      </c>
      <c r="C228" s="2" t="str">
        <f t="shared" si="9"/>
        <v>I309</v>
      </c>
      <c r="D228" s="13" t="s">
        <v>1012</v>
      </c>
      <c r="E228" s="13" t="s">
        <v>2542</v>
      </c>
      <c r="F228" s="13" t="s">
        <v>2546</v>
      </c>
      <c r="G228" s="13" t="s">
        <v>0</v>
      </c>
      <c r="H228" s="13" t="s">
        <v>13</v>
      </c>
      <c r="I228" s="13">
        <v>0</v>
      </c>
      <c r="J228" s="13">
        <v>1000</v>
      </c>
      <c r="K228" s="13" t="s">
        <v>16</v>
      </c>
      <c r="L228" s="13" t="s">
        <v>2543</v>
      </c>
      <c r="M228" s="18" t="s">
        <v>2248</v>
      </c>
    </row>
    <row r="229" spans="1:13" ht="21" x14ac:dyDescent="0.25">
      <c r="A229" s="13">
        <v>310</v>
      </c>
      <c r="B229" s="13">
        <f t="shared" si="8"/>
        <v>5311</v>
      </c>
      <c r="C229" s="2" t="str">
        <f t="shared" si="9"/>
        <v>I310</v>
      </c>
      <c r="D229" s="13" t="s">
        <v>1013</v>
      </c>
      <c r="E229" s="13" t="s">
        <v>2544</v>
      </c>
      <c r="F229" s="13" t="s">
        <v>2545</v>
      </c>
      <c r="G229" s="13" t="s">
        <v>0</v>
      </c>
      <c r="H229" s="13" t="s">
        <v>13</v>
      </c>
      <c r="I229" s="13">
        <v>0</v>
      </c>
      <c r="J229" s="13">
        <v>1000</v>
      </c>
      <c r="K229" s="13" t="s">
        <v>16</v>
      </c>
      <c r="L229" s="13" t="s">
        <v>2543</v>
      </c>
      <c r="M229" s="18" t="s">
        <v>2248</v>
      </c>
    </row>
    <row r="230" spans="1:13" ht="31.5" x14ac:dyDescent="0.25">
      <c r="A230" s="13">
        <v>384</v>
      </c>
      <c r="B230" s="13">
        <f t="shared" ref="B230:B231" si="10">A230+5001</f>
        <v>5385</v>
      </c>
      <c r="C230" s="2" t="str">
        <f t="shared" ref="C230:C231" si="11">"I"&amp;A230</f>
        <v>I384</v>
      </c>
      <c r="D230" s="13" t="s">
        <v>2547</v>
      </c>
      <c r="E230" s="13" t="s">
        <v>2563</v>
      </c>
      <c r="F230" s="13" t="s">
        <v>2576</v>
      </c>
      <c r="G230" s="13" t="s">
        <v>0</v>
      </c>
      <c r="H230" s="13" t="s">
        <v>8</v>
      </c>
      <c r="I230" s="13">
        <v>0</v>
      </c>
      <c r="J230" s="13">
        <v>100</v>
      </c>
      <c r="K230" s="13" t="s">
        <v>16</v>
      </c>
      <c r="L230" s="13"/>
      <c r="M230" s="18" t="s">
        <v>2248</v>
      </c>
    </row>
    <row r="231" spans="1:13" ht="31.5" x14ac:dyDescent="0.25">
      <c r="A231" s="13">
        <v>385</v>
      </c>
      <c r="B231" s="13">
        <f t="shared" si="10"/>
        <v>5386</v>
      </c>
      <c r="C231" s="2" t="str">
        <f t="shared" si="11"/>
        <v>I385</v>
      </c>
      <c r="D231" s="13" t="s">
        <v>2548</v>
      </c>
      <c r="E231" s="13" t="s">
        <v>2570</v>
      </c>
      <c r="F231" s="13" t="s">
        <v>2583</v>
      </c>
      <c r="G231" s="13" t="s">
        <v>0</v>
      </c>
      <c r="H231" s="13" t="s">
        <v>13</v>
      </c>
      <c r="I231" s="13">
        <v>0</v>
      </c>
      <c r="J231" s="13">
        <v>100</v>
      </c>
      <c r="K231" s="13" t="s">
        <v>16</v>
      </c>
      <c r="L231" s="13"/>
      <c r="M231" s="18" t="s">
        <v>2248</v>
      </c>
    </row>
    <row r="232" spans="1:13" ht="21" x14ac:dyDescent="0.25">
      <c r="A232" s="13">
        <v>386</v>
      </c>
      <c r="B232" s="13">
        <f t="shared" ref="B232:B285" si="12">A232+5001</f>
        <v>5387</v>
      </c>
      <c r="C232" s="2" t="str">
        <f t="shared" ref="C232:C285" si="13">"I"&amp;A232</f>
        <v>I386</v>
      </c>
      <c r="D232" s="13" t="s">
        <v>2549</v>
      </c>
      <c r="E232" s="13" t="s">
        <v>2564</v>
      </c>
      <c r="F232" s="13" t="s">
        <v>2577</v>
      </c>
      <c r="G232" s="13" t="s">
        <v>0</v>
      </c>
      <c r="H232" s="13" t="s">
        <v>756</v>
      </c>
      <c r="I232" s="13">
        <v>0</v>
      </c>
      <c r="J232" s="13">
        <v>1000</v>
      </c>
      <c r="K232" s="13" t="s">
        <v>16</v>
      </c>
      <c r="L232" s="13"/>
      <c r="M232" s="18" t="s">
        <v>2248</v>
      </c>
    </row>
    <row r="233" spans="1:13" ht="21" x14ac:dyDescent="0.25">
      <c r="A233" s="13">
        <v>387</v>
      </c>
      <c r="B233" s="13">
        <f t="shared" si="12"/>
        <v>5388</v>
      </c>
      <c r="C233" s="2" t="str">
        <f t="shared" si="13"/>
        <v>I387</v>
      </c>
      <c r="D233" s="13" t="s">
        <v>2550</v>
      </c>
      <c r="E233" s="13" t="s">
        <v>2571</v>
      </c>
      <c r="F233" s="13" t="s">
        <v>2584</v>
      </c>
      <c r="G233" s="13" t="s">
        <v>0</v>
      </c>
      <c r="H233" s="13" t="s">
        <v>756</v>
      </c>
      <c r="I233" s="13">
        <v>0</v>
      </c>
      <c r="J233" s="13">
        <v>1000</v>
      </c>
      <c r="K233" s="13" t="s">
        <v>16</v>
      </c>
      <c r="L233" s="13"/>
      <c r="M233" s="18" t="s">
        <v>2248</v>
      </c>
    </row>
    <row r="234" spans="1:13" ht="31.5" x14ac:dyDescent="0.25">
      <c r="A234" s="13">
        <v>388</v>
      </c>
      <c r="B234" s="13">
        <f t="shared" si="12"/>
        <v>5389</v>
      </c>
      <c r="C234" s="2" t="str">
        <f t="shared" si="13"/>
        <v>I388</v>
      </c>
      <c r="D234" s="13" t="s">
        <v>2551</v>
      </c>
      <c r="E234" s="13" t="s">
        <v>2565</v>
      </c>
      <c r="F234" s="13" t="s">
        <v>2578</v>
      </c>
      <c r="G234" s="13" t="s">
        <v>0</v>
      </c>
      <c r="H234" s="13" t="s">
        <v>756</v>
      </c>
      <c r="I234" s="13">
        <v>0</v>
      </c>
      <c r="J234" s="13">
        <v>18000</v>
      </c>
      <c r="K234" s="13" t="s">
        <v>16</v>
      </c>
      <c r="L234" s="13"/>
      <c r="M234" s="18" t="s">
        <v>2248</v>
      </c>
    </row>
    <row r="235" spans="1:13" ht="31.5" x14ac:dyDescent="0.25">
      <c r="A235" s="13">
        <v>389</v>
      </c>
      <c r="B235" s="13">
        <f t="shared" si="12"/>
        <v>5390</v>
      </c>
      <c r="C235" s="2" t="str">
        <f t="shared" si="13"/>
        <v>I389</v>
      </c>
      <c r="D235" s="13" t="s">
        <v>2552</v>
      </c>
      <c r="E235" s="13" t="s">
        <v>2566</v>
      </c>
      <c r="F235" s="13" t="s">
        <v>2579</v>
      </c>
      <c r="G235" s="13" t="s">
        <v>0</v>
      </c>
      <c r="H235" s="13" t="s">
        <v>756</v>
      </c>
      <c r="I235" s="13">
        <v>0</v>
      </c>
      <c r="J235" s="13">
        <v>18000</v>
      </c>
      <c r="K235" s="13" t="s">
        <v>16</v>
      </c>
      <c r="L235" s="13"/>
      <c r="M235" s="18" t="s">
        <v>2248</v>
      </c>
    </row>
    <row r="236" spans="1:13" ht="31.5" x14ac:dyDescent="0.25">
      <c r="A236" s="13">
        <v>390</v>
      </c>
      <c r="B236" s="13">
        <f t="shared" si="12"/>
        <v>5391</v>
      </c>
      <c r="C236" s="2" t="str">
        <f t="shared" si="13"/>
        <v>I390</v>
      </c>
      <c r="D236" s="13" t="s">
        <v>2553</v>
      </c>
      <c r="E236" s="13" t="s">
        <v>2567</v>
      </c>
      <c r="F236" s="13" t="s">
        <v>2580</v>
      </c>
      <c r="G236" s="13" t="s">
        <v>0</v>
      </c>
      <c r="H236" s="13" t="s">
        <v>756</v>
      </c>
      <c r="I236" s="13">
        <v>0</v>
      </c>
      <c r="J236" s="13">
        <v>18000</v>
      </c>
      <c r="K236" s="13" t="s">
        <v>16</v>
      </c>
      <c r="L236" s="13"/>
      <c r="M236" s="18" t="s">
        <v>2248</v>
      </c>
    </row>
    <row r="237" spans="1:13" ht="31.5" x14ac:dyDescent="0.25">
      <c r="A237" s="13">
        <v>391</v>
      </c>
      <c r="B237" s="13">
        <f t="shared" si="12"/>
        <v>5392</v>
      </c>
      <c r="C237" s="2" t="str">
        <f t="shared" si="13"/>
        <v>I391</v>
      </c>
      <c r="D237" s="13" t="s">
        <v>2554</v>
      </c>
      <c r="E237" s="13" t="s">
        <v>2568</v>
      </c>
      <c r="F237" s="13" t="s">
        <v>2581</v>
      </c>
      <c r="G237" s="13" t="s">
        <v>0</v>
      </c>
      <c r="H237" s="13" t="s">
        <v>756</v>
      </c>
      <c r="I237" s="13">
        <v>0</v>
      </c>
      <c r="J237" s="13">
        <v>18000</v>
      </c>
      <c r="K237" s="13" t="s">
        <v>16</v>
      </c>
      <c r="L237" s="13"/>
      <c r="M237" s="18" t="s">
        <v>2248</v>
      </c>
    </row>
    <row r="238" spans="1:13" ht="31.5" x14ac:dyDescent="0.25">
      <c r="A238" s="13">
        <v>392</v>
      </c>
      <c r="B238" s="13">
        <f t="shared" si="12"/>
        <v>5393</v>
      </c>
      <c r="C238" s="2" t="str">
        <f t="shared" si="13"/>
        <v>I392</v>
      </c>
      <c r="D238" s="13" t="s">
        <v>2555</v>
      </c>
      <c r="E238" s="13" t="s">
        <v>2572</v>
      </c>
      <c r="F238" s="13" t="s">
        <v>2585</v>
      </c>
      <c r="G238" s="13" t="s">
        <v>0</v>
      </c>
      <c r="H238" s="13" t="s">
        <v>756</v>
      </c>
      <c r="I238" s="13">
        <v>0</v>
      </c>
      <c r="J238" s="13">
        <v>18000</v>
      </c>
      <c r="K238" s="13" t="s">
        <v>16</v>
      </c>
      <c r="L238" s="13"/>
      <c r="M238" s="18" t="s">
        <v>2248</v>
      </c>
    </row>
    <row r="239" spans="1:13" ht="31.5" x14ac:dyDescent="0.25">
      <c r="A239" s="13">
        <v>393</v>
      </c>
      <c r="B239" s="13">
        <f t="shared" si="12"/>
        <v>5394</v>
      </c>
      <c r="C239" s="2" t="str">
        <f t="shared" si="13"/>
        <v>I393</v>
      </c>
      <c r="D239" s="13" t="s">
        <v>2556</v>
      </c>
      <c r="E239" s="13" t="s">
        <v>2573</v>
      </c>
      <c r="F239" s="13" t="s">
        <v>2586</v>
      </c>
      <c r="G239" s="13" t="s">
        <v>0</v>
      </c>
      <c r="H239" s="13" t="s">
        <v>756</v>
      </c>
      <c r="I239" s="13">
        <v>0</v>
      </c>
      <c r="J239" s="13">
        <v>18000</v>
      </c>
      <c r="K239" s="13" t="s">
        <v>16</v>
      </c>
      <c r="L239" s="13"/>
      <c r="M239" s="18" t="s">
        <v>2248</v>
      </c>
    </row>
    <row r="240" spans="1:13" ht="31.5" x14ac:dyDescent="0.25">
      <c r="A240" s="13">
        <v>394</v>
      </c>
      <c r="B240" s="13">
        <f t="shared" si="12"/>
        <v>5395</v>
      </c>
      <c r="C240" s="2" t="str">
        <f t="shared" si="13"/>
        <v>I394</v>
      </c>
      <c r="D240" s="13" t="s">
        <v>2557</v>
      </c>
      <c r="E240" s="13" t="s">
        <v>2574</v>
      </c>
      <c r="F240" s="13" t="s">
        <v>2587</v>
      </c>
      <c r="G240" s="13" t="s">
        <v>0</v>
      </c>
      <c r="H240" s="13" t="s">
        <v>756</v>
      </c>
      <c r="I240" s="13">
        <v>0</v>
      </c>
      <c r="J240" s="13">
        <v>18000</v>
      </c>
      <c r="K240" s="13" t="s">
        <v>16</v>
      </c>
      <c r="L240" s="13"/>
      <c r="M240" s="18" t="s">
        <v>2248</v>
      </c>
    </row>
    <row r="241" spans="1:13" ht="31.5" x14ac:dyDescent="0.25">
      <c r="A241" s="13">
        <v>395</v>
      </c>
      <c r="B241" s="13">
        <f t="shared" si="12"/>
        <v>5396</v>
      </c>
      <c r="C241" s="2" t="str">
        <f t="shared" si="13"/>
        <v>I395</v>
      </c>
      <c r="D241" s="13" t="s">
        <v>2558</v>
      </c>
      <c r="E241" s="13" t="s">
        <v>2569</v>
      </c>
      <c r="F241" s="13" t="s">
        <v>2582</v>
      </c>
      <c r="G241" s="13" t="s">
        <v>0</v>
      </c>
      <c r="H241" s="13" t="s">
        <v>8</v>
      </c>
      <c r="I241" s="13">
        <v>0</v>
      </c>
      <c r="J241" s="13">
        <v>100</v>
      </c>
      <c r="K241" s="13" t="s">
        <v>16</v>
      </c>
      <c r="L241" s="13"/>
      <c r="M241" s="18" t="s">
        <v>2248</v>
      </c>
    </row>
    <row r="242" spans="1:13" ht="31.5" x14ac:dyDescent="0.25">
      <c r="A242" s="13">
        <v>396</v>
      </c>
      <c r="B242" s="13">
        <f t="shared" si="12"/>
        <v>5397</v>
      </c>
      <c r="C242" s="2" t="str">
        <f t="shared" si="13"/>
        <v>I396</v>
      </c>
      <c r="D242" s="13" t="s">
        <v>2559</v>
      </c>
      <c r="E242" s="13" t="s">
        <v>2575</v>
      </c>
      <c r="F242" s="13" t="s">
        <v>2583</v>
      </c>
      <c r="G242" s="13" t="s">
        <v>0</v>
      </c>
      <c r="H242" s="13" t="s">
        <v>13</v>
      </c>
      <c r="I242" s="13">
        <v>0</v>
      </c>
      <c r="J242" s="13">
        <v>100</v>
      </c>
      <c r="K242" s="13" t="s">
        <v>16</v>
      </c>
      <c r="L242" s="13"/>
      <c r="M242" s="18" t="s">
        <v>2248</v>
      </c>
    </row>
    <row r="243" spans="1:13" ht="21" x14ac:dyDescent="0.25">
      <c r="A243" s="13">
        <v>399</v>
      </c>
      <c r="B243" s="13">
        <f t="shared" si="12"/>
        <v>5400</v>
      </c>
      <c r="C243" s="2" t="str">
        <f t="shared" si="13"/>
        <v>I399</v>
      </c>
      <c r="D243" s="13" t="s">
        <v>1014</v>
      </c>
      <c r="E243" s="13" t="s">
        <v>2560</v>
      </c>
      <c r="F243" s="13" t="s">
        <v>2588</v>
      </c>
      <c r="G243" s="13" t="s">
        <v>0</v>
      </c>
      <c r="H243" s="13" t="s">
        <v>8</v>
      </c>
      <c r="I243" s="13">
        <v>0</v>
      </c>
      <c r="J243" s="13">
        <v>100</v>
      </c>
      <c r="K243" s="13" t="s">
        <v>16</v>
      </c>
      <c r="L243" s="13"/>
      <c r="M243" s="18" t="s">
        <v>2248</v>
      </c>
    </row>
    <row r="244" spans="1:13" ht="21" x14ac:dyDescent="0.25">
      <c r="A244" s="13">
        <v>400</v>
      </c>
      <c r="B244" s="13">
        <f t="shared" si="12"/>
        <v>5401</v>
      </c>
      <c r="C244" s="2" t="str">
        <f t="shared" si="13"/>
        <v>I400</v>
      </c>
      <c r="D244" s="13" t="s">
        <v>1015</v>
      </c>
      <c r="E244" s="13" t="s">
        <v>2561</v>
      </c>
      <c r="F244" s="13" t="s">
        <v>2589</v>
      </c>
      <c r="G244" s="13" t="s">
        <v>0</v>
      </c>
      <c r="H244" s="13" t="s">
        <v>8</v>
      </c>
      <c r="I244" s="13">
        <v>0</v>
      </c>
      <c r="J244" s="13">
        <v>100</v>
      </c>
      <c r="K244" s="13" t="s">
        <v>16</v>
      </c>
      <c r="L244" s="13"/>
      <c r="M244" s="18" t="s">
        <v>2248</v>
      </c>
    </row>
    <row r="245" spans="1:13" ht="31.5" x14ac:dyDescent="0.25">
      <c r="A245" s="13">
        <v>401</v>
      </c>
      <c r="B245" s="13">
        <f t="shared" si="12"/>
        <v>5402</v>
      </c>
      <c r="C245" s="2" t="str">
        <f t="shared" si="13"/>
        <v>I401</v>
      </c>
      <c r="D245" s="13" t="s">
        <v>1016</v>
      </c>
      <c r="E245" s="13" t="s">
        <v>2562</v>
      </c>
      <c r="F245" s="13" t="s">
        <v>1017</v>
      </c>
      <c r="G245" s="13" t="s">
        <v>0</v>
      </c>
      <c r="H245" s="13" t="s">
        <v>8</v>
      </c>
      <c r="I245" s="13">
        <v>0</v>
      </c>
      <c r="J245" s="13">
        <v>100</v>
      </c>
      <c r="K245" s="13" t="s">
        <v>16</v>
      </c>
      <c r="L245" s="13"/>
      <c r="M245" s="18" t="s">
        <v>2248</v>
      </c>
    </row>
    <row r="246" spans="1:13" ht="21" x14ac:dyDescent="0.25">
      <c r="A246" s="13">
        <v>406</v>
      </c>
      <c r="B246" s="13">
        <f t="shared" si="12"/>
        <v>5407</v>
      </c>
      <c r="C246" s="2" t="str">
        <f t="shared" si="13"/>
        <v>I406</v>
      </c>
      <c r="D246" s="13" t="s">
        <v>1018</v>
      </c>
      <c r="E246" s="13" t="s">
        <v>2591</v>
      </c>
      <c r="F246" s="13" t="s">
        <v>2590</v>
      </c>
      <c r="G246" s="13" t="s">
        <v>280</v>
      </c>
      <c r="H246" s="13" t="s">
        <v>1019</v>
      </c>
      <c r="I246" s="13">
        <v>0</v>
      </c>
      <c r="J246" s="13">
        <v>999</v>
      </c>
      <c r="K246" s="13" t="s">
        <v>11</v>
      </c>
      <c r="L246" s="13"/>
      <c r="M246" s="18" t="s">
        <v>2246</v>
      </c>
    </row>
    <row r="247" spans="1:13" x14ac:dyDescent="0.25">
      <c r="A247" s="13">
        <v>407</v>
      </c>
      <c r="B247" s="13">
        <f t="shared" si="12"/>
        <v>5408</v>
      </c>
      <c r="C247" s="2" t="str">
        <f t="shared" si="13"/>
        <v>I407</v>
      </c>
      <c r="D247" s="13" t="s">
        <v>1020</v>
      </c>
      <c r="E247" s="13" t="s">
        <v>1569</v>
      </c>
      <c r="F247" s="13" t="s">
        <v>1570</v>
      </c>
      <c r="G247" s="13" t="s">
        <v>0</v>
      </c>
      <c r="H247" s="13" t="s">
        <v>13</v>
      </c>
      <c r="I247" s="13">
        <v>0</v>
      </c>
      <c r="J247" s="13">
        <v>1000</v>
      </c>
      <c r="K247" s="13" t="s">
        <v>11</v>
      </c>
      <c r="L247" s="13"/>
      <c r="M247" s="18" t="s">
        <v>2246</v>
      </c>
    </row>
    <row r="248" spans="1:13" ht="31.5" x14ac:dyDescent="0.25">
      <c r="A248" s="13">
        <v>408</v>
      </c>
      <c r="B248" s="13">
        <f t="shared" si="12"/>
        <v>5409</v>
      </c>
      <c r="C248" s="2" t="str">
        <f t="shared" si="13"/>
        <v>I408</v>
      </c>
      <c r="D248" s="13" t="s">
        <v>2537</v>
      </c>
      <c r="E248" s="13" t="s">
        <v>2538</v>
      </c>
      <c r="F248" s="13" t="s">
        <v>2539</v>
      </c>
      <c r="G248" s="13" t="s">
        <v>0</v>
      </c>
      <c r="H248" s="13" t="s">
        <v>8</v>
      </c>
      <c r="I248" s="13">
        <v>0</v>
      </c>
      <c r="J248" s="13">
        <v>100</v>
      </c>
      <c r="K248" s="13" t="s">
        <v>16</v>
      </c>
      <c r="L248" s="13"/>
      <c r="M248" s="18" t="s">
        <v>2248</v>
      </c>
    </row>
    <row r="249" spans="1:13" ht="21" x14ac:dyDescent="0.25">
      <c r="A249" s="13">
        <v>409</v>
      </c>
      <c r="B249" s="13">
        <f t="shared" si="12"/>
        <v>5410</v>
      </c>
      <c r="C249" s="2" t="str">
        <f t="shared" si="13"/>
        <v>I409</v>
      </c>
      <c r="D249" s="13" t="s">
        <v>1021</v>
      </c>
      <c r="E249" s="13" t="s">
        <v>2541</v>
      </c>
      <c r="F249" s="13" t="s">
        <v>2540</v>
      </c>
      <c r="G249" s="13" t="s">
        <v>0</v>
      </c>
      <c r="H249" s="13" t="s">
        <v>8</v>
      </c>
      <c r="I249" s="13">
        <v>0</v>
      </c>
      <c r="J249" s="13">
        <v>100</v>
      </c>
      <c r="K249" s="13" t="s">
        <v>16</v>
      </c>
      <c r="L249" s="13"/>
      <c r="M249" s="18" t="s">
        <v>2248</v>
      </c>
    </row>
    <row r="250" spans="1:13" ht="21" x14ac:dyDescent="0.25">
      <c r="A250" s="13">
        <v>412</v>
      </c>
      <c r="B250" s="13">
        <f t="shared" si="12"/>
        <v>5413</v>
      </c>
      <c r="C250" s="2" t="str">
        <f t="shared" si="13"/>
        <v>I412</v>
      </c>
      <c r="D250" s="13" t="s">
        <v>1022</v>
      </c>
      <c r="E250" s="13" t="s">
        <v>1571</v>
      </c>
      <c r="F250" s="13" t="s">
        <v>1573</v>
      </c>
      <c r="G250" s="13" t="s">
        <v>0</v>
      </c>
      <c r="H250" s="13" t="s">
        <v>871</v>
      </c>
      <c r="I250" s="13">
        <v>0</v>
      </c>
      <c r="J250" s="13">
        <v>32767</v>
      </c>
      <c r="K250" s="13" t="s">
        <v>11</v>
      </c>
      <c r="L250" s="13"/>
      <c r="M250" s="18" t="s">
        <v>2246</v>
      </c>
    </row>
    <row r="251" spans="1:13" ht="21" x14ac:dyDescent="0.25">
      <c r="A251" s="13">
        <v>413</v>
      </c>
      <c r="B251" s="13">
        <f t="shared" si="12"/>
        <v>5414</v>
      </c>
      <c r="C251" s="2" t="str">
        <f t="shared" si="13"/>
        <v>I413</v>
      </c>
      <c r="D251" s="13" t="s">
        <v>1024</v>
      </c>
      <c r="E251" s="13" t="s">
        <v>1575</v>
      </c>
      <c r="F251" s="13" t="s">
        <v>1577</v>
      </c>
      <c r="G251" s="13" t="s">
        <v>0</v>
      </c>
      <c r="H251" s="13" t="s">
        <v>99</v>
      </c>
      <c r="I251" s="13">
        <v>-32768</v>
      </c>
      <c r="J251" s="13">
        <v>32767</v>
      </c>
      <c r="K251" s="13" t="s">
        <v>11</v>
      </c>
      <c r="L251" s="13"/>
      <c r="M251" s="18" t="s">
        <v>2246</v>
      </c>
    </row>
    <row r="252" spans="1:13" ht="21" x14ac:dyDescent="0.25">
      <c r="A252" s="13">
        <v>414</v>
      </c>
      <c r="B252" s="13">
        <f t="shared" si="12"/>
        <v>5415</v>
      </c>
      <c r="C252" s="2" t="str">
        <f t="shared" si="13"/>
        <v>I414</v>
      </c>
      <c r="D252" s="13" t="s">
        <v>1026</v>
      </c>
      <c r="E252" s="13" t="s">
        <v>1576</v>
      </c>
      <c r="F252" s="13" t="s">
        <v>1578</v>
      </c>
      <c r="G252" s="13" t="s">
        <v>0</v>
      </c>
      <c r="H252" s="13" t="s">
        <v>982</v>
      </c>
      <c r="I252" s="13">
        <v>-32768</v>
      </c>
      <c r="J252" s="13">
        <v>32767</v>
      </c>
      <c r="K252" s="13" t="s">
        <v>11</v>
      </c>
      <c r="L252" s="13"/>
      <c r="M252" s="18" t="s">
        <v>2246</v>
      </c>
    </row>
    <row r="253" spans="1:13" ht="21" x14ac:dyDescent="0.25">
      <c r="A253" s="13">
        <v>415</v>
      </c>
      <c r="B253" s="13">
        <f t="shared" si="12"/>
        <v>5416</v>
      </c>
      <c r="C253" s="2" t="str">
        <f t="shared" si="13"/>
        <v>I415</v>
      </c>
      <c r="D253" s="13" t="s">
        <v>1028</v>
      </c>
      <c r="E253" s="13" t="s">
        <v>1583</v>
      </c>
      <c r="F253" s="13" t="s">
        <v>1582</v>
      </c>
      <c r="G253" s="13" t="s">
        <v>0</v>
      </c>
      <c r="H253" s="13" t="s">
        <v>18</v>
      </c>
      <c r="I253" s="13">
        <v>0</v>
      </c>
      <c r="J253" s="13">
        <v>999</v>
      </c>
      <c r="K253" s="13" t="s">
        <v>11</v>
      </c>
      <c r="L253" s="13"/>
      <c r="M253" s="18" t="s">
        <v>2246</v>
      </c>
    </row>
    <row r="254" spans="1:13" ht="21" x14ac:dyDescent="0.25">
      <c r="A254" s="13">
        <v>416</v>
      </c>
      <c r="B254" s="13">
        <f t="shared" si="12"/>
        <v>5417</v>
      </c>
      <c r="C254" s="2" t="str">
        <f t="shared" si="13"/>
        <v>I416</v>
      </c>
      <c r="D254" s="13" t="s">
        <v>1029</v>
      </c>
      <c r="E254" s="13" t="s">
        <v>1572</v>
      </c>
      <c r="F254" s="13" t="s">
        <v>1574</v>
      </c>
      <c r="G254" s="13" t="s">
        <v>0</v>
      </c>
      <c r="H254" s="13" t="s">
        <v>871</v>
      </c>
      <c r="I254" s="13">
        <v>0</v>
      </c>
      <c r="J254" s="13">
        <v>32767</v>
      </c>
      <c r="K254" s="13" t="s">
        <v>11</v>
      </c>
      <c r="L254" s="13"/>
      <c r="M254" s="18" t="s">
        <v>2246</v>
      </c>
    </row>
    <row r="255" spans="1:13" ht="21" x14ac:dyDescent="0.25">
      <c r="A255" s="13">
        <v>417</v>
      </c>
      <c r="B255" s="13">
        <f t="shared" si="12"/>
        <v>5418</v>
      </c>
      <c r="C255" s="2" t="str">
        <f t="shared" si="13"/>
        <v>I417</v>
      </c>
      <c r="D255" s="13" t="s">
        <v>1030</v>
      </c>
      <c r="E255" s="13" t="s">
        <v>1588</v>
      </c>
      <c r="F255" s="13" t="s">
        <v>1580</v>
      </c>
      <c r="G255" s="13" t="s">
        <v>0</v>
      </c>
      <c r="H255" s="13" t="s">
        <v>99</v>
      </c>
      <c r="I255" s="13">
        <v>-32768</v>
      </c>
      <c r="J255" s="13">
        <v>32767</v>
      </c>
      <c r="K255" s="13" t="s">
        <v>11</v>
      </c>
      <c r="L255" s="13"/>
      <c r="M255" s="18" t="s">
        <v>2246</v>
      </c>
    </row>
    <row r="256" spans="1:13" ht="21" x14ac:dyDescent="0.25">
      <c r="A256" s="13">
        <v>418</v>
      </c>
      <c r="B256" s="13">
        <f t="shared" si="12"/>
        <v>5419</v>
      </c>
      <c r="C256" s="2" t="str">
        <f t="shared" si="13"/>
        <v>I418</v>
      </c>
      <c r="D256" s="13" t="s">
        <v>1031</v>
      </c>
      <c r="E256" s="13" t="s">
        <v>1579</v>
      </c>
      <c r="F256" s="13" t="s">
        <v>1581</v>
      </c>
      <c r="G256" s="13" t="s">
        <v>0</v>
      </c>
      <c r="H256" s="13" t="s">
        <v>982</v>
      </c>
      <c r="I256" s="13">
        <v>-32768</v>
      </c>
      <c r="J256" s="13">
        <v>32767</v>
      </c>
      <c r="K256" s="13" t="s">
        <v>11</v>
      </c>
      <c r="L256" s="13"/>
      <c r="M256" s="18" t="s">
        <v>2246</v>
      </c>
    </row>
    <row r="257" spans="1:13" ht="21" x14ac:dyDescent="0.25">
      <c r="A257" s="13">
        <v>419</v>
      </c>
      <c r="B257" s="13">
        <f t="shared" si="12"/>
        <v>5420</v>
      </c>
      <c r="C257" s="2" t="str">
        <f t="shared" si="13"/>
        <v>I419</v>
      </c>
      <c r="D257" s="13" t="s">
        <v>1032</v>
      </c>
      <c r="E257" s="13" t="s">
        <v>1584</v>
      </c>
      <c r="F257" s="13" t="s">
        <v>1585</v>
      </c>
      <c r="G257" s="13" t="s">
        <v>0</v>
      </c>
      <c r="H257" s="13" t="s">
        <v>274</v>
      </c>
      <c r="I257" s="13">
        <v>-32768</v>
      </c>
      <c r="J257" s="13">
        <v>32767</v>
      </c>
      <c r="K257" s="13" t="s">
        <v>11</v>
      </c>
      <c r="L257" s="13"/>
      <c r="M257" s="18" t="s">
        <v>2246</v>
      </c>
    </row>
    <row r="258" spans="1:13" ht="42" x14ac:dyDescent="0.25">
      <c r="A258" s="13">
        <v>420</v>
      </c>
      <c r="B258" s="13">
        <f t="shared" si="12"/>
        <v>5421</v>
      </c>
      <c r="C258" s="2" t="str">
        <f t="shared" si="13"/>
        <v>I420</v>
      </c>
      <c r="D258" s="13" t="s">
        <v>1033</v>
      </c>
      <c r="E258" s="13" t="s">
        <v>1586</v>
      </c>
      <c r="F258" s="13" t="s">
        <v>1034</v>
      </c>
      <c r="G258" s="13" t="s">
        <v>0</v>
      </c>
      <c r="H258" s="13" t="s">
        <v>13</v>
      </c>
      <c r="I258" s="13">
        <v>0</v>
      </c>
      <c r="J258" s="13">
        <v>1092</v>
      </c>
      <c r="K258" s="13" t="s">
        <v>11</v>
      </c>
      <c r="L258" s="13"/>
      <c r="M258" s="18" t="s">
        <v>2246</v>
      </c>
    </row>
    <row r="259" spans="1:13" ht="21" x14ac:dyDescent="0.25">
      <c r="A259" s="13">
        <v>421</v>
      </c>
      <c r="B259" s="13">
        <f t="shared" si="12"/>
        <v>5422</v>
      </c>
      <c r="C259" s="2" t="str">
        <f t="shared" si="13"/>
        <v>I421</v>
      </c>
      <c r="D259" s="13" t="s">
        <v>1035</v>
      </c>
      <c r="E259" s="13" t="s">
        <v>1587</v>
      </c>
      <c r="F259" s="13" t="s">
        <v>1036</v>
      </c>
      <c r="G259" s="13" t="s">
        <v>0</v>
      </c>
      <c r="H259" s="13" t="s">
        <v>871</v>
      </c>
      <c r="I259" s="13">
        <v>0</v>
      </c>
      <c r="J259" s="13">
        <v>32767</v>
      </c>
      <c r="K259" s="13" t="s">
        <v>11</v>
      </c>
      <c r="L259" s="13"/>
      <c r="M259" s="18" t="s">
        <v>2246</v>
      </c>
    </row>
    <row r="260" spans="1:13" ht="21" x14ac:dyDescent="0.25">
      <c r="A260" s="13">
        <v>422</v>
      </c>
      <c r="B260" s="13">
        <f t="shared" si="12"/>
        <v>5423</v>
      </c>
      <c r="C260" s="2" t="str">
        <f t="shared" si="13"/>
        <v>I422</v>
      </c>
      <c r="D260" s="13" t="s">
        <v>1037</v>
      </c>
      <c r="E260" s="13" t="s">
        <v>2592</v>
      </c>
      <c r="F260" s="13" t="s">
        <v>2603</v>
      </c>
      <c r="G260" s="13" t="s">
        <v>0</v>
      </c>
      <c r="H260" s="13" t="s">
        <v>287</v>
      </c>
      <c r="I260" s="13">
        <v>-32768</v>
      </c>
      <c r="J260" s="13">
        <v>32767</v>
      </c>
      <c r="K260" s="13" t="s">
        <v>11</v>
      </c>
      <c r="L260" s="13"/>
      <c r="M260" s="18" t="s">
        <v>2246</v>
      </c>
    </row>
    <row r="261" spans="1:13" ht="21" x14ac:dyDescent="0.25">
      <c r="A261" s="13">
        <v>423</v>
      </c>
      <c r="B261" s="13">
        <f t="shared" si="12"/>
        <v>5424</v>
      </c>
      <c r="C261" s="2" t="str">
        <f t="shared" si="13"/>
        <v>I423</v>
      </c>
      <c r="D261" s="13" t="s">
        <v>1038</v>
      </c>
      <c r="E261" s="13" t="s">
        <v>2601</v>
      </c>
      <c r="F261" s="13" t="s">
        <v>2602</v>
      </c>
      <c r="G261" s="13" t="s">
        <v>0</v>
      </c>
      <c r="H261" s="13" t="s">
        <v>99</v>
      </c>
      <c r="I261" s="13">
        <v>0</v>
      </c>
      <c r="J261" s="13">
        <v>999</v>
      </c>
      <c r="K261" s="13" t="s">
        <v>11</v>
      </c>
      <c r="L261" s="13"/>
      <c r="M261" s="18" t="s">
        <v>2246</v>
      </c>
    </row>
    <row r="262" spans="1:13" ht="21" x14ac:dyDescent="0.25">
      <c r="A262" s="13">
        <v>424</v>
      </c>
      <c r="B262" s="13">
        <f t="shared" si="12"/>
        <v>5425</v>
      </c>
      <c r="C262" s="2" t="str">
        <f t="shared" si="13"/>
        <v>I424</v>
      </c>
      <c r="D262" s="13" t="s">
        <v>1039</v>
      </c>
      <c r="E262" s="13" t="s">
        <v>2599</v>
      </c>
      <c r="F262" s="13" t="s">
        <v>2600</v>
      </c>
      <c r="G262" s="13" t="s">
        <v>0</v>
      </c>
      <c r="H262" s="13" t="s">
        <v>99</v>
      </c>
      <c r="I262" s="13">
        <v>0</v>
      </c>
      <c r="J262" s="13">
        <v>99</v>
      </c>
      <c r="K262" s="13" t="s">
        <v>11</v>
      </c>
      <c r="L262" s="13"/>
      <c r="M262" s="18" t="s">
        <v>2246</v>
      </c>
    </row>
    <row r="263" spans="1:13" ht="21" x14ac:dyDescent="0.25">
      <c r="A263" s="13">
        <v>425</v>
      </c>
      <c r="B263" s="13">
        <f t="shared" si="12"/>
        <v>5426</v>
      </c>
      <c r="C263" s="2" t="str">
        <f t="shared" si="13"/>
        <v>I425</v>
      </c>
      <c r="D263" s="13" t="s">
        <v>1040</v>
      </c>
      <c r="E263" s="13" t="s">
        <v>2593</v>
      </c>
      <c r="F263" s="13" t="s">
        <v>2598</v>
      </c>
      <c r="G263" s="13" t="s">
        <v>0</v>
      </c>
      <c r="H263" s="13" t="s">
        <v>13</v>
      </c>
      <c r="I263" s="13">
        <v>0</v>
      </c>
      <c r="J263" s="13">
        <v>16</v>
      </c>
      <c r="K263" s="13" t="s">
        <v>11</v>
      </c>
      <c r="L263" s="13"/>
      <c r="M263" s="18" t="s">
        <v>2246</v>
      </c>
    </row>
    <row r="264" spans="1:13" ht="21" x14ac:dyDescent="0.25">
      <c r="A264" s="13">
        <v>426</v>
      </c>
      <c r="B264" s="13">
        <f t="shared" si="12"/>
        <v>5427</v>
      </c>
      <c r="C264" s="2" t="str">
        <f t="shared" si="13"/>
        <v>I426</v>
      </c>
      <c r="D264" s="13" t="s">
        <v>1041</v>
      </c>
      <c r="E264" s="13" t="s">
        <v>2595</v>
      </c>
      <c r="F264" s="13" t="s">
        <v>2597</v>
      </c>
      <c r="G264" s="13" t="s">
        <v>0</v>
      </c>
      <c r="H264" s="13" t="s">
        <v>287</v>
      </c>
      <c r="I264" s="13">
        <v>0</v>
      </c>
      <c r="J264" s="13">
        <v>32767</v>
      </c>
      <c r="K264" s="13" t="s">
        <v>11</v>
      </c>
      <c r="L264" s="13"/>
      <c r="M264" s="18" t="s">
        <v>2246</v>
      </c>
    </row>
    <row r="265" spans="1:13" ht="21" x14ac:dyDescent="0.25">
      <c r="A265" s="13">
        <v>427</v>
      </c>
      <c r="B265" s="13">
        <f t="shared" si="12"/>
        <v>5428</v>
      </c>
      <c r="C265" s="2" t="str">
        <f t="shared" si="13"/>
        <v>I427</v>
      </c>
      <c r="D265" s="13" t="s">
        <v>1042</v>
      </c>
      <c r="E265" s="13" t="s">
        <v>2594</v>
      </c>
      <c r="F265" s="13" t="s">
        <v>2596</v>
      </c>
      <c r="G265" s="13" t="s">
        <v>0</v>
      </c>
      <c r="H265" s="13" t="s">
        <v>99</v>
      </c>
      <c r="I265" s="13">
        <v>0</v>
      </c>
      <c r="J265" s="13">
        <v>999</v>
      </c>
      <c r="K265" s="13" t="s">
        <v>11</v>
      </c>
      <c r="L265" s="13"/>
      <c r="M265" s="18" t="s">
        <v>2246</v>
      </c>
    </row>
    <row r="266" spans="1:13" x14ac:dyDescent="0.25">
      <c r="A266" s="13">
        <v>428</v>
      </c>
      <c r="B266" s="13">
        <f t="shared" si="12"/>
        <v>5429</v>
      </c>
      <c r="C266" s="2" t="str">
        <f t="shared" si="13"/>
        <v>I428</v>
      </c>
      <c r="D266" s="13" t="s">
        <v>979</v>
      </c>
      <c r="E266" s="13" t="s">
        <v>1589</v>
      </c>
      <c r="F266" s="13" t="s">
        <v>980</v>
      </c>
      <c r="G266" s="13" t="s">
        <v>0</v>
      </c>
      <c r="H266" s="13" t="s">
        <v>871</v>
      </c>
      <c r="I266" s="13">
        <v>0</v>
      </c>
      <c r="J266" s="13">
        <v>32767</v>
      </c>
      <c r="K266" s="13" t="s">
        <v>11</v>
      </c>
      <c r="L266" s="13"/>
      <c r="M266" s="18" t="s">
        <v>2246</v>
      </c>
    </row>
    <row r="267" spans="1:13" ht="21" x14ac:dyDescent="0.25">
      <c r="A267" s="13">
        <v>431</v>
      </c>
      <c r="B267" s="13">
        <f t="shared" si="12"/>
        <v>5432</v>
      </c>
      <c r="C267" s="2" t="str">
        <f t="shared" si="13"/>
        <v>I431</v>
      </c>
      <c r="D267" s="13" t="s">
        <v>1043</v>
      </c>
      <c r="E267" s="13" t="s">
        <v>1590</v>
      </c>
      <c r="F267" s="13" t="s">
        <v>1023</v>
      </c>
      <c r="G267" s="13" t="s">
        <v>0</v>
      </c>
      <c r="H267" s="13" t="s">
        <v>13</v>
      </c>
      <c r="I267" s="13">
        <v>0</v>
      </c>
      <c r="J267" s="13">
        <v>32767</v>
      </c>
      <c r="K267" s="13" t="s">
        <v>11</v>
      </c>
      <c r="L267" s="13"/>
      <c r="M267" s="18" t="s">
        <v>2246</v>
      </c>
    </row>
    <row r="268" spans="1:13" ht="21" x14ac:dyDescent="0.25">
      <c r="A268" s="13">
        <v>432</v>
      </c>
      <c r="B268" s="13">
        <f t="shared" si="12"/>
        <v>5433</v>
      </c>
      <c r="C268" s="2" t="str">
        <f t="shared" si="13"/>
        <v>I432</v>
      </c>
      <c r="D268" s="13" t="s">
        <v>1044</v>
      </c>
      <c r="E268" s="13" t="s">
        <v>1591</v>
      </c>
      <c r="F268" s="13" t="s">
        <v>811</v>
      </c>
      <c r="G268" s="13" t="s">
        <v>0</v>
      </c>
      <c r="H268" s="13" t="s">
        <v>287</v>
      </c>
      <c r="I268" s="13">
        <v>0</v>
      </c>
      <c r="J268" s="13">
        <v>32767</v>
      </c>
      <c r="K268" s="13" t="s">
        <v>11</v>
      </c>
      <c r="L268" s="13"/>
      <c r="M268" s="18" t="s">
        <v>2246</v>
      </c>
    </row>
    <row r="269" spans="1:13" ht="21" x14ac:dyDescent="0.25">
      <c r="A269" s="13">
        <v>433</v>
      </c>
      <c r="B269" s="13">
        <f t="shared" si="12"/>
        <v>5434</v>
      </c>
      <c r="C269" s="2" t="str">
        <f t="shared" si="13"/>
        <v>I433</v>
      </c>
      <c r="D269" s="13" t="s">
        <v>1045</v>
      </c>
      <c r="E269" s="13" t="s">
        <v>1593</v>
      </c>
      <c r="F269" s="13" t="s">
        <v>1025</v>
      </c>
      <c r="G269" s="13" t="s">
        <v>0</v>
      </c>
      <c r="H269" s="13" t="s">
        <v>13</v>
      </c>
      <c r="I269" s="13">
        <v>-32768</v>
      </c>
      <c r="J269" s="13">
        <v>32767</v>
      </c>
      <c r="K269" s="13" t="s">
        <v>11</v>
      </c>
      <c r="L269" s="13"/>
      <c r="M269" s="18" t="s">
        <v>2246</v>
      </c>
    </row>
    <row r="270" spans="1:13" ht="21" x14ac:dyDescent="0.25">
      <c r="A270" s="13">
        <v>434</v>
      </c>
      <c r="B270" s="13">
        <f t="shared" si="12"/>
        <v>5435</v>
      </c>
      <c r="C270" s="2" t="str">
        <f t="shared" si="13"/>
        <v>I434</v>
      </c>
      <c r="D270" s="13" t="s">
        <v>1046</v>
      </c>
      <c r="E270" s="13" t="s">
        <v>1592</v>
      </c>
      <c r="F270" s="13" t="s">
        <v>1027</v>
      </c>
      <c r="G270" s="13" t="s">
        <v>0</v>
      </c>
      <c r="H270" s="13" t="s">
        <v>982</v>
      </c>
      <c r="I270" s="13">
        <v>-32768</v>
      </c>
      <c r="J270" s="13">
        <v>32767</v>
      </c>
      <c r="K270" s="13" t="s">
        <v>11</v>
      </c>
      <c r="L270" s="13"/>
      <c r="M270" s="18" t="s">
        <v>2246</v>
      </c>
    </row>
    <row r="271" spans="1:13" ht="21" x14ac:dyDescent="0.25">
      <c r="A271" s="13">
        <v>435</v>
      </c>
      <c r="B271" s="13">
        <f t="shared" si="12"/>
        <v>5436</v>
      </c>
      <c r="C271" s="2" t="str">
        <f t="shared" si="13"/>
        <v>I435</v>
      </c>
      <c r="D271" s="13" t="s">
        <v>1047</v>
      </c>
      <c r="E271" s="13" t="s">
        <v>1594</v>
      </c>
      <c r="F271" s="13" t="s">
        <v>872</v>
      </c>
      <c r="G271" s="13" t="s">
        <v>0</v>
      </c>
      <c r="H271" s="13" t="s">
        <v>18</v>
      </c>
      <c r="I271" s="13">
        <v>0</v>
      </c>
      <c r="J271" s="13">
        <v>999</v>
      </c>
      <c r="K271" s="13" t="s">
        <v>11</v>
      </c>
      <c r="L271" s="13"/>
      <c r="M271" s="18" t="s">
        <v>2246</v>
      </c>
    </row>
    <row r="272" spans="1:13" x14ac:dyDescent="0.25">
      <c r="A272" s="13">
        <v>436</v>
      </c>
      <c r="B272" s="13">
        <f t="shared" si="12"/>
        <v>5437</v>
      </c>
      <c r="C272" s="2" t="str">
        <f t="shared" si="13"/>
        <v>I436</v>
      </c>
      <c r="D272" s="13" t="s">
        <v>1048</v>
      </c>
      <c r="E272" s="13" t="s">
        <v>1596</v>
      </c>
      <c r="F272" s="13" t="s">
        <v>1049</v>
      </c>
      <c r="G272" s="13" t="s">
        <v>0</v>
      </c>
      <c r="H272" s="13" t="s">
        <v>13</v>
      </c>
      <c r="I272" s="13">
        <v>0</v>
      </c>
      <c r="J272" s="13">
        <v>16</v>
      </c>
      <c r="K272" s="13" t="s">
        <v>11</v>
      </c>
      <c r="L272" s="13"/>
      <c r="M272" s="18" t="s">
        <v>2246</v>
      </c>
    </row>
    <row r="273" spans="1:13" ht="21" x14ac:dyDescent="0.25">
      <c r="A273" s="13">
        <v>437</v>
      </c>
      <c r="B273" s="13">
        <f t="shared" si="12"/>
        <v>5438</v>
      </c>
      <c r="C273" s="2" t="str">
        <f t="shared" si="13"/>
        <v>I437</v>
      </c>
      <c r="D273" s="13" t="s">
        <v>1050</v>
      </c>
      <c r="E273" s="13" t="s">
        <v>2509</v>
      </c>
      <c r="F273" s="13" t="s">
        <v>2522</v>
      </c>
      <c r="G273" s="13" t="s">
        <v>0</v>
      </c>
      <c r="H273" s="13" t="s">
        <v>13</v>
      </c>
      <c r="I273" s="13">
        <v>0</v>
      </c>
      <c r="J273" s="13">
        <v>32767</v>
      </c>
      <c r="K273" s="13" t="s">
        <v>11</v>
      </c>
      <c r="L273" s="13"/>
      <c r="M273" s="18" t="s">
        <v>2246</v>
      </c>
    </row>
    <row r="274" spans="1:13" ht="21" x14ac:dyDescent="0.25">
      <c r="A274" s="13">
        <v>438</v>
      </c>
      <c r="B274" s="13">
        <f t="shared" si="12"/>
        <v>5439</v>
      </c>
      <c r="C274" s="2" t="str">
        <f t="shared" si="13"/>
        <v>I438</v>
      </c>
      <c r="D274" s="13" t="s">
        <v>1051</v>
      </c>
      <c r="E274" s="13" t="s">
        <v>1595</v>
      </c>
      <c r="F274" s="13" t="s">
        <v>2523</v>
      </c>
      <c r="G274" s="13" t="s">
        <v>0</v>
      </c>
      <c r="H274" s="13" t="s">
        <v>287</v>
      </c>
      <c r="I274" s="13">
        <v>0</v>
      </c>
      <c r="J274" s="13">
        <v>32767</v>
      </c>
      <c r="K274" s="13" t="s">
        <v>11</v>
      </c>
      <c r="L274" s="13"/>
      <c r="M274" s="18" t="s">
        <v>2246</v>
      </c>
    </row>
    <row r="275" spans="1:13" ht="21" x14ac:dyDescent="0.25">
      <c r="A275" s="13">
        <v>439</v>
      </c>
      <c r="B275" s="13">
        <f t="shared" si="12"/>
        <v>5440</v>
      </c>
      <c r="C275" s="2" t="str">
        <f t="shared" si="13"/>
        <v>I439</v>
      </c>
      <c r="D275" s="13" t="s">
        <v>1052</v>
      </c>
      <c r="E275" s="13" t="s">
        <v>2508</v>
      </c>
      <c r="F275" s="13" t="s">
        <v>2524</v>
      </c>
      <c r="G275" s="13" t="s">
        <v>0</v>
      </c>
      <c r="H275" s="13" t="s">
        <v>13</v>
      </c>
      <c r="I275" s="13">
        <v>-32768</v>
      </c>
      <c r="J275" s="13">
        <v>32767</v>
      </c>
      <c r="K275" s="13" t="s">
        <v>11</v>
      </c>
      <c r="L275" s="13"/>
      <c r="M275" s="18" t="s">
        <v>2246</v>
      </c>
    </row>
    <row r="276" spans="1:13" ht="21" x14ac:dyDescent="0.25">
      <c r="A276" s="13">
        <v>440</v>
      </c>
      <c r="B276" s="13">
        <f t="shared" si="12"/>
        <v>5441</v>
      </c>
      <c r="C276" s="2" t="str">
        <f t="shared" si="13"/>
        <v>I440</v>
      </c>
      <c r="D276" s="13" t="s">
        <v>1053</v>
      </c>
      <c r="E276" s="13" t="s">
        <v>2510</v>
      </c>
      <c r="F276" s="13" t="s">
        <v>2525</v>
      </c>
      <c r="G276" s="13" t="s">
        <v>0</v>
      </c>
      <c r="H276" s="13" t="s">
        <v>982</v>
      </c>
      <c r="I276" s="13">
        <v>-32768</v>
      </c>
      <c r="J276" s="13">
        <v>32767</v>
      </c>
      <c r="K276" s="13" t="s">
        <v>11</v>
      </c>
      <c r="L276" s="13"/>
      <c r="M276" s="18" t="s">
        <v>2246</v>
      </c>
    </row>
    <row r="277" spans="1:13" ht="21" x14ac:dyDescent="0.25">
      <c r="A277" s="13">
        <v>441</v>
      </c>
      <c r="B277" s="13">
        <f t="shared" si="12"/>
        <v>5442</v>
      </c>
      <c r="C277" s="2" t="str">
        <f t="shared" si="13"/>
        <v>I441</v>
      </c>
      <c r="D277" s="13" t="s">
        <v>1054</v>
      </c>
      <c r="E277" s="13" t="s">
        <v>2511</v>
      </c>
      <c r="F277" s="13" t="s">
        <v>2526</v>
      </c>
      <c r="G277" s="13" t="s">
        <v>0</v>
      </c>
      <c r="H277" s="13" t="s">
        <v>18</v>
      </c>
      <c r="I277" s="13">
        <v>0</v>
      </c>
      <c r="J277" s="13">
        <v>999</v>
      </c>
      <c r="K277" s="13" t="s">
        <v>11</v>
      </c>
      <c r="L277" s="13"/>
      <c r="M277" s="18" t="s">
        <v>2246</v>
      </c>
    </row>
    <row r="278" spans="1:13" ht="21" x14ac:dyDescent="0.25">
      <c r="A278" s="13">
        <v>442</v>
      </c>
      <c r="B278" s="13">
        <f t="shared" si="12"/>
        <v>5443</v>
      </c>
      <c r="C278" s="2" t="str">
        <f t="shared" si="13"/>
        <v>I442</v>
      </c>
      <c r="D278" s="13" t="s">
        <v>1055</v>
      </c>
      <c r="E278" s="13" t="s">
        <v>2512</v>
      </c>
      <c r="F278" s="13" t="s">
        <v>2527</v>
      </c>
      <c r="G278" s="13" t="s">
        <v>0</v>
      </c>
      <c r="H278" s="13" t="s">
        <v>13</v>
      </c>
      <c r="I278" s="13">
        <v>0</v>
      </c>
      <c r="J278" s="13">
        <v>16</v>
      </c>
      <c r="K278" s="13" t="s">
        <v>11</v>
      </c>
      <c r="L278" s="13"/>
      <c r="M278" s="18" t="s">
        <v>2246</v>
      </c>
    </row>
    <row r="279" spans="1:13" ht="21" x14ac:dyDescent="0.25">
      <c r="A279" s="13">
        <v>443</v>
      </c>
      <c r="B279" s="13">
        <f t="shared" si="12"/>
        <v>5444</v>
      </c>
      <c r="C279" s="2" t="str">
        <f t="shared" si="13"/>
        <v>I443</v>
      </c>
      <c r="D279" s="13" t="s">
        <v>1056</v>
      </c>
      <c r="E279" s="13" t="s">
        <v>2513</v>
      </c>
      <c r="F279" s="13" t="s">
        <v>2528</v>
      </c>
      <c r="G279" s="13" t="s">
        <v>0</v>
      </c>
      <c r="H279" s="13" t="s">
        <v>13</v>
      </c>
      <c r="I279" s="13">
        <v>0</v>
      </c>
      <c r="J279" s="13">
        <v>16</v>
      </c>
      <c r="K279" s="13" t="s">
        <v>11</v>
      </c>
      <c r="L279" s="13"/>
      <c r="M279" s="18" t="s">
        <v>2246</v>
      </c>
    </row>
    <row r="280" spans="1:13" ht="21" x14ac:dyDescent="0.25">
      <c r="A280" s="13">
        <v>444</v>
      </c>
      <c r="B280" s="13">
        <f t="shared" si="12"/>
        <v>5445</v>
      </c>
      <c r="C280" s="2" t="str">
        <f t="shared" si="13"/>
        <v>I444</v>
      </c>
      <c r="D280" s="13" t="s">
        <v>1057</v>
      </c>
      <c r="E280" s="13" t="s">
        <v>2514</v>
      </c>
      <c r="F280" s="13" t="s">
        <v>2529</v>
      </c>
      <c r="G280" s="13" t="s">
        <v>0</v>
      </c>
      <c r="H280" s="13" t="s">
        <v>13</v>
      </c>
      <c r="I280" s="13">
        <v>0</v>
      </c>
      <c r="J280" s="13">
        <v>16</v>
      </c>
      <c r="K280" s="13" t="s">
        <v>11</v>
      </c>
      <c r="L280" s="13"/>
      <c r="M280" s="18" t="s">
        <v>2246</v>
      </c>
    </row>
    <row r="281" spans="1:13" ht="21" x14ac:dyDescent="0.25">
      <c r="A281" s="13">
        <v>445</v>
      </c>
      <c r="B281" s="13">
        <f t="shared" si="12"/>
        <v>5446</v>
      </c>
      <c r="C281" s="2" t="str">
        <f t="shared" si="13"/>
        <v>I445</v>
      </c>
      <c r="D281" s="13" t="s">
        <v>1058</v>
      </c>
      <c r="E281" s="13" t="s">
        <v>2515</v>
      </c>
      <c r="F281" s="13" t="s">
        <v>2530</v>
      </c>
      <c r="G281" s="13" t="s">
        <v>0</v>
      </c>
      <c r="H281" s="13" t="s">
        <v>13</v>
      </c>
      <c r="I281" s="13">
        <v>0</v>
      </c>
      <c r="J281" s="13">
        <v>32767</v>
      </c>
      <c r="K281" s="13" t="s">
        <v>11</v>
      </c>
      <c r="L281" s="13"/>
      <c r="M281" s="18" t="s">
        <v>2246</v>
      </c>
    </row>
    <row r="282" spans="1:13" ht="21" x14ac:dyDescent="0.25">
      <c r="A282" s="13">
        <v>446</v>
      </c>
      <c r="B282" s="13">
        <f t="shared" si="12"/>
        <v>5447</v>
      </c>
      <c r="C282" s="2" t="str">
        <f t="shared" si="13"/>
        <v>I446</v>
      </c>
      <c r="D282" s="13" t="s">
        <v>1059</v>
      </c>
      <c r="E282" s="13" t="s">
        <v>2516</v>
      </c>
      <c r="F282" s="13" t="s">
        <v>2531</v>
      </c>
      <c r="G282" s="13" t="s">
        <v>0</v>
      </c>
      <c r="H282" s="13" t="s">
        <v>287</v>
      </c>
      <c r="I282" s="13">
        <v>0</v>
      </c>
      <c r="J282" s="13">
        <v>32767</v>
      </c>
      <c r="K282" s="13" t="s">
        <v>11</v>
      </c>
      <c r="L282" s="13"/>
      <c r="M282" s="18" t="s">
        <v>2246</v>
      </c>
    </row>
    <row r="283" spans="1:13" ht="21" x14ac:dyDescent="0.25">
      <c r="A283" s="13">
        <v>447</v>
      </c>
      <c r="B283" s="13">
        <f t="shared" si="12"/>
        <v>5448</v>
      </c>
      <c r="C283" s="2" t="str">
        <f t="shared" si="13"/>
        <v>I447</v>
      </c>
      <c r="D283" s="13" t="s">
        <v>1060</v>
      </c>
      <c r="E283" s="13" t="s">
        <v>2517</v>
      </c>
      <c r="F283" s="13" t="s">
        <v>2532</v>
      </c>
      <c r="G283" s="13" t="s">
        <v>0</v>
      </c>
      <c r="H283" s="13" t="s">
        <v>13</v>
      </c>
      <c r="I283" s="13">
        <v>-32768</v>
      </c>
      <c r="J283" s="13">
        <v>32767</v>
      </c>
      <c r="K283" s="13" t="s">
        <v>11</v>
      </c>
      <c r="L283" s="13"/>
      <c r="M283" s="18" t="s">
        <v>2246</v>
      </c>
    </row>
    <row r="284" spans="1:13" ht="21" x14ac:dyDescent="0.25">
      <c r="A284" s="13">
        <v>448</v>
      </c>
      <c r="B284" s="13">
        <f t="shared" si="12"/>
        <v>5449</v>
      </c>
      <c r="C284" s="2" t="str">
        <f t="shared" si="13"/>
        <v>I448</v>
      </c>
      <c r="D284" s="13" t="s">
        <v>1061</v>
      </c>
      <c r="E284" s="13" t="s">
        <v>2518</v>
      </c>
      <c r="F284" s="13" t="s">
        <v>2533</v>
      </c>
      <c r="G284" s="13" t="s">
        <v>0</v>
      </c>
      <c r="H284" s="13" t="s">
        <v>982</v>
      </c>
      <c r="I284" s="13">
        <v>-32768</v>
      </c>
      <c r="J284" s="13">
        <v>32767</v>
      </c>
      <c r="K284" s="13" t="s">
        <v>11</v>
      </c>
      <c r="L284" s="13"/>
      <c r="M284" s="18" t="s">
        <v>2246</v>
      </c>
    </row>
    <row r="285" spans="1:13" ht="21" x14ac:dyDescent="0.25">
      <c r="A285" s="13">
        <v>449</v>
      </c>
      <c r="B285" s="13">
        <f t="shared" si="12"/>
        <v>5450</v>
      </c>
      <c r="C285" s="2" t="str">
        <f t="shared" si="13"/>
        <v>I449</v>
      </c>
      <c r="D285" s="13" t="s">
        <v>1062</v>
      </c>
      <c r="E285" s="13" t="s">
        <v>2519</v>
      </c>
      <c r="F285" s="13" t="s">
        <v>2534</v>
      </c>
      <c r="G285" s="13" t="s">
        <v>0</v>
      </c>
      <c r="H285" s="13" t="s">
        <v>18</v>
      </c>
      <c r="I285" s="13">
        <v>0</v>
      </c>
      <c r="J285" s="13">
        <v>999</v>
      </c>
      <c r="K285" s="13" t="s">
        <v>11</v>
      </c>
      <c r="L285" s="13"/>
      <c r="M285" s="18" t="s">
        <v>2246</v>
      </c>
    </row>
    <row r="286" spans="1:13" ht="21" x14ac:dyDescent="0.25">
      <c r="A286" s="13">
        <v>450</v>
      </c>
      <c r="B286" s="13">
        <f t="shared" ref="B286:B291" si="14">A286+5001</f>
        <v>5451</v>
      </c>
      <c r="C286" s="2" t="str">
        <f t="shared" ref="C286:C291" si="15">"I"&amp;A286</f>
        <v>I450</v>
      </c>
      <c r="D286" s="13" t="s">
        <v>1063</v>
      </c>
      <c r="E286" s="13" t="s">
        <v>2520</v>
      </c>
      <c r="F286" s="13" t="s">
        <v>2535</v>
      </c>
      <c r="G286" s="13" t="s">
        <v>0</v>
      </c>
      <c r="H286" s="13" t="s">
        <v>13</v>
      </c>
      <c r="I286" s="13">
        <v>0</v>
      </c>
      <c r="J286" s="13">
        <v>16</v>
      </c>
      <c r="K286" s="13" t="s">
        <v>11</v>
      </c>
      <c r="L286" s="13"/>
      <c r="M286" s="18" t="s">
        <v>2246</v>
      </c>
    </row>
    <row r="287" spans="1:13" ht="21" x14ac:dyDescent="0.25">
      <c r="A287" s="13">
        <v>451</v>
      </c>
      <c r="B287" s="13">
        <f t="shared" si="14"/>
        <v>5452</v>
      </c>
      <c r="C287" s="2" t="str">
        <f t="shared" si="15"/>
        <v>I451</v>
      </c>
      <c r="D287" s="13" t="s">
        <v>1064</v>
      </c>
      <c r="E287" s="13" t="s">
        <v>2521</v>
      </c>
      <c r="F287" s="13" t="s">
        <v>2536</v>
      </c>
      <c r="G287" s="13" t="s">
        <v>0</v>
      </c>
      <c r="H287" s="13" t="s">
        <v>13</v>
      </c>
      <c r="I287" s="13">
        <v>0</v>
      </c>
      <c r="J287" s="13">
        <v>16</v>
      </c>
      <c r="K287" s="13" t="s">
        <v>11</v>
      </c>
      <c r="L287" s="13"/>
      <c r="M287" s="18" t="s">
        <v>2246</v>
      </c>
    </row>
    <row r="288" spans="1:13" ht="21" x14ac:dyDescent="0.25">
      <c r="A288" s="13">
        <v>452</v>
      </c>
      <c r="B288" s="13">
        <f t="shared" si="14"/>
        <v>5453</v>
      </c>
      <c r="C288" s="2" t="str">
        <f t="shared" si="15"/>
        <v>I452</v>
      </c>
      <c r="D288" s="13" t="s">
        <v>2642</v>
      </c>
      <c r="E288" s="13" t="s">
        <v>2644</v>
      </c>
      <c r="F288" s="13" t="s">
        <v>2647</v>
      </c>
      <c r="G288" s="13" t="s">
        <v>647</v>
      </c>
      <c r="H288" s="13" t="s">
        <v>8</v>
      </c>
      <c r="I288" s="13">
        <v>0</v>
      </c>
      <c r="J288" s="13">
        <v>100</v>
      </c>
      <c r="K288" s="13" t="s">
        <v>16</v>
      </c>
      <c r="L288" s="13"/>
      <c r="M288" s="18" t="s">
        <v>2248</v>
      </c>
    </row>
    <row r="289" spans="1:13" ht="21" x14ac:dyDescent="0.25">
      <c r="A289" s="13">
        <v>453</v>
      </c>
      <c r="B289" s="13">
        <f t="shared" si="14"/>
        <v>5454</v>
      </c>
      <c r="C289" s="2" t="str">
        <f t="shared" si="15"/>
        <v>I453</v>
      </c>
      <c r="D289" s="13" t="s">
        <v>2643</v>
      </c>
      <c r="E289" s="13" t="s">
        <v>2645</v>
      </c>
      <c r="F289" s="13" t="s">
        <v>2646</v>
      </c>
      <c r="G289" s="13" t="s">
        <v>647</v>
      </c>
      <c r="H289" s="13" t="s">
        <v>8</v>
      </c>
      <c r="I289" s="13">
        <v>0</v>
      </c>
      <c r="J289" s="13">
        <v>100</v>
      </c>
      <c r="K289" s="13" t="s">
        <v>16</v>
      </c>
      <c r="L289" s="13"/>
      <c r="M289" s="18" t="s">
        <v>2247</v>
      </c>
    </row>
    <row r="290" spans="1:13" ht="31.5" x14ac:dyDescent="0.25">
      <c r="A290" s="13">
        <v>457</v>
      </c>
      <c r="B290" s="13">
        <f t="shared" si="14"/>
        <v>5458</v>
      </c>
      <c r="C290" s="2" t="str">
        <f t="shared" si="15"/>
        <v>I457</v>
      </c>
      <c r="D290" s="13" t="s">
        <v>1597</v>
      </c>
      <c r="E290" s="13" t="s">
        <v>2635</v>
      </c>
      <c r="F290" s="13" t="s">
        <v>2630</v>
      </c>
      <c r="G290" s="13"/>
      <c r="H290" s="13" t="s">
        <v>274</v>
      </c>
      <c r="I290" s="13" t="s">
        <v>9</v>
      </c>
      <c r="J290" s="13" t="s">
        <v>10</v>
      </c>
      <c r="K290" s="13" t="s">
        <v>16</v>
      </c>
      <c r="L290" s="13"/>
      <c r="M290" s="18" t="s">
        <v>2248</v>
      </c>
    </row>
    <row r="291" spans="1:13" ht="31.5" x14ac:dyDescent="0.25">
      <c r="A291" s="13">
        <v>458</v>
      </c>
      <c r="B291" s="13">
        <f t="shared" si="14"/>
        <v>5459</v>
      </c>
      <c r="C291" s="2" t="str">
        <f t="shared" si="15"/>
        <v>I458</v>
      </c>
      <c r="D291" s="13" t="s">
        <v>1598</v>
      </c>
      <c r="E291" s="13" t="s">
        <v>2636</v>
      </c>
      <c r="F291" s="13" t="s">
        <v>2631</v>
      </c>
      <c r="G291" s="13"/>
      <c r="H291" s="13" t="s">
        <v>13</v>
      </c>
      <c r="I291" s="13">
        <v>1</v>
      </c>
      <c r="J291" s="13">
        <v>300</v>
      </c>
      <c r="K291" s="13" t="s">
        <v>16</v>
      </c>
      <c r="L291" s="13"/>
      <c r="M291" s="18" t="s">
        <v>2248</v>
      </c>
    </row>
    <row r="292" spans="1:13" ht="31.5" x14ac:dyDescent="0.25">
      <c r="A292" s="13">
        <v>459</v>
      </c>
      <c r="B292" s="13">
        <f t="shared" ref="B292:B300" si="16">A292+5001</f>
        <v>5460</v>
      </c>
      <c r="C292" s="2" t="str">
        <f t="shared" ref="C292:C300" si="17">"I"&amp;A292</f>
        <v>I459</v>
      </c>
      <c r="D292" s="13" t="s">
        <v>1599</v>
      </c>
      <c r="E292" s="13" t="s">
        <v>2637</v>
      </c>
      <c r="F292" s="13" t="s">
        <v>2632</v>
      </c>
      <c r="G292" s="13"/>
      <c r="H292" s="13" t="s">
        <v>13</v>
      </c>
      <c r="I292" s="13">
        <v>0</v>
      </c>
      <c r="J292" s="13">
        <v>9999</v>
      </c>
      <c r="K292" s="13" t="s">
        <v>16</v>
      </c>
      <c r="L292" s="13"/>
      <c r="M292" s="18" t="s">
        <v>2248</v>
      </c>
    </row>
    <row r="293" spans="1:13" ht="21" x14ac:dyDescent="0.25">
      <c r="A293" s="13">
        <v>460</v>
      </c>
      <c r="B293" s="13">
        <f t="shared" si="16"/>
        <v>5461</v>
      </c>
      <c r="C293" s="2" t="str">
        <f t="shared" si="17"/>
        <v>I460</v>
      </c>
      <c r="D293" s="13" t="s">
        <v>1600</v>
      </c>
      <c r="E293" s="13" t="s">
        <v>2638</v>
      </c>
      <c r="F293" s="13" t="s">
        <v>2633</v>
      </c>
      <c r="G293" s="13"/>
      <c r="H293" s="13" t="s">
        <v>13</v>
      </c>
      <c r="I293" s="13">
        <v>0</v>
      </c>
      <c r="J293" s="13">
        <v>32767</v>
      </c>
      <c r="K293" s="13" t="s">
        <v>16</v>
      </c>
      <c r="L293" s="13"/>
      <c r="M293" s="18" t="s">
        <v>2248</v>
      </c>
    </row>
    <row r="294" spans="1:13" ht="31.5" x14ac:dyDescent="0.25">
      <c r="A294" s="13">
        <v>461</v>
      </c>
      <c r="B294" s="13">
        <f t="shared" si="16"/>
        <v>5462</v>
      </c>
      <c r="C294" s="2" t="str">
        <f t="shared" si="17"/>
        <v>I461</v>
      </c>
      <c r="D294" s="13" t="s">
        <v>1601</v>
      </c>
      <c r="E294" s="13" t="s">
        <v>2640</v>
      </c>
      <c r="F294" s="13" t="s">
        <v>2634</v>
      </c>
      <c r="G294" s="13"/>
      <c r="H294" s="13" t="s">
        <v>13</v>
      </c>
      <c r="I294" s="13">
        <v>0</v>
      </c>
      <c r="J294" s="13">
        <v>32767</v>
      </c>
      <c r="K294" s="13" t="s">
        <v>16</v>
      </c>
      <c r="L294" s="13"/>
      <c r="M294" s="18" t="s">
        <v>2248</v>
      </c>
    </row>
    <row r="295" spans="1:13" ht="21" x14ac:dyDescent="0.25">
      <c r="A295" s="13">
        <v>462</v>
      </c>
      <c r="B295" s="13">
        <f t="shared" si="16"/>
        <v>5463</v>
      </c>
      <c r="C295" s="2" t="str">
        <f t="shared" si="17"/>
        <v>I462</v>
      </c>
      <c r="D295" s="13" t="s">
        <v>1602</v>
      </c>
      <c r="E295" s="13" t="s">
        <v>2639</v>
      </c>
      <c r="F295" s="13" t="s">
        <v>2641</v>
      </c>
      <c r="G295" s="13"/>
      <c r="H295" s="13" t="s">
        <v>13</v>
      </c>
      <c r="I295" s="13">
        <v>0</v>
      </c>
      <c r="J295" s="13">
        <v>999</v>
      </c>
      <c r="K295" s="13" t="s">
        <v>16</v>
      </c>
      <c r="L295" s="13"/>
      <c r="M295" s="18" t="s">
        <v>2248</v>
      </c>
    </row>
    <row r="296" spans="1:13" ht="31.5" x14ac:dyDescent="0.25">
      <c r="A296" s="13">
        <v>463</v>
      </c>
      <c r="B296" s="13">
        <f t="shared" si="16"/>
        <v>5464</v>
      </c>
      <c r="C296" s="2" t="str">
        <f t="shared" si="17"/>
        <v>I463</v>
      </c>
      <c r="D296" s="13" t="s">
        <v>1603</v>
      </c>
      <c r="E296" s="13" t="s">
        <v>2621</v>
      </c>
      <c r="F296" s="13" t="s">
        <v>2626</v>
      </c>
      <c r="G296" s="13"/>
      <c r="H296" s="13" t="s">
        <v>756</v>
      </c>
      <c r="I296" s="13">
        <v>0</v>
      </c>
      <c r="J296" s="13">
        <v>999</v>
      </c>
      <c r="K296" s="13" t="s">
        <v>16</v>
      </c>
      <c r="L296" s="13"/>
      <c r="M296" s="18" t="s">
        <v>2248</v>
      </c>
    </row>
    <row r="297" spans="1:13" ht="31.5" x14ac:dyDescent="0.25">
      <c r="A297" s="13">
        <v>464</v>
      </c>
      <c r="B297" s="13">
        <f t="shared" si="16"/>
        <v>5465</v>
      </c>
      <c r="C297" s="2" t="str">
        <f t="shared" si="17"/>
        <v>I464</v>
      </c>
      <c r="D297" s="13" t="s">
        <v>1604</v>
      </c>
      <c r="E297" s="13" t="s">
        <v>2622</v>
      </c>
      <c r="F297" s="13" t="s">
        <v>2627</v>
      </c>
      <c r="G297" s="13"/>
      <c r="H297" s="13" t="s">
        <v>756</v>
      </c>
      <c r="I297" s="13">
        <v>0</v>
      </c>
      <c r="J297" s="13">
        <v>999</v>
      </c>
      <c r="K297" s="13" t="s">
        <v>16</v>
      </c>
      <c r="L297" s="13"/>
      <c r="M297" s="18" t="s">
        <v>2248</v>
      </c>
    </row>
    <row r="298" spans="1:13" ht="31.5" x14ac:dyDescent="0.25">
      <c r="A298" s="13">
        <v>465</v>
      </c>
      <c r="B298" s="13">
        <f t="shared" si="16"/>
        <v>5466</v>
      </c>
      <c r="C298" s="2" t="str">
        <f t="shared" si="17"/>
        <v>I465</v>
      </c>
      <c r="D298" s="13" t="s">
        <v>1605</v>
      </c>
      <c r="E298" s="13" t="s">
        <v>2623</v>
      </c>
      <c r="F298" s="13" t="s">
        <v>2628</v>
      </c>
      <c r="G298" s="13"/>
      <c r="H298" s="13" t="s">
        <v>13</v>
      </c>
      <c r="I298" s="13">
        <v>0</v>
      </c>
      <c r="J298" s="13">
        <v>999</v>
      </c>
      <c r="K298" s="13" t="s">
        <v>16</v>
      </c>
      <c r="L298" s="13"/>
      <c r="M298" s="18" t="s">
        <v>2248</v>
      </c>
    </row>
    <row r="299" spans="1:13" ht="31.5" x14ac:dyDescent="0.25">
      <c r="A299" s="13">
        <v>466</v>
      </c>
      <c r="B299" s="13">
        <f t="shared" si="16"/>
        <v>5467</v>
      </c>
      <c r="C299" s="2" t="str">
        <f t="shared" si="17"/>
        <v>I466</v>
      </c>
      <c r="D299" s="13" t="s">
        <v>1606</v>
      </c>
      <c r="E299" s="13" t="s">
        <v>2625</v>
      </c>
      <c r="F299" s="13" t="s">
        <v>2629</v>
      </c>
      <c r="G299" s="13"/>
      <c r="H299" s="13" t="s">
        <v>13</v>
      </c>
      <c r="I299" s="13">
        <v>0</v>
      </c>
      <c r="J299" s="13">
        <v>999</v>
      </c>
      <c r="K299" s="13" t="s">
        <v>16</v>
      </c>
      <c r="L299" s="13"/>
      <c r="M299" s="18" t="s">
        <v>2248</v>
      </c>
    </row>
    <row r="300" spans="1:13" x14ac:dyDescent="0.25">
      <c r="A300" s="13">
        <v>467</v>
      </c>
      <c r="B300" s="13">
        <f t="shared" si="16"/>
        <v>5468</v>
      </c>
      <c r="C300" s="2" t="str">
        <f t="shared" si="17"/>
        <v>I467</v>
      </c>
      <c r="D300" s="13" t="s">
        <v>1607</v>
      </c>
      <c r="E300" s="13" t="s">
        <v>2624</v>
      </c>
      <c r="F300" s="13" t="s">
        <v>1608</v>
      </c>
      <c r="G300" s="13"/>
      <c r="H300" s="13" t="s">
        <v>13</v>
      </c>
      <c r="I300" s="13">
        <v>-32768</v>
      </c>
      <c r="J300" s="13">
        <v>32767</v>
      </c>
      <c r="K300" s="13" t="s">
        <v>11</v>
      </c>
      <c r="L300" s="13"/>
      <c r="M300" s="18" t="s">
        <v>2246</v>
      </c>
    </row>
  </sheetData>
  <mergeCells count="2">
    <mergeCell ref="A2:M2"/>
    <mergeCell ref="N79:N80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826EE-1C50-4E46-A49C-9E664D1FB4FC}">
  <sheetPr codeName="Sheet3"/>
  <dimension ref="A1:M298"/>
  <sheetViews>
    <sheetView zoomScale="160" zoomScaleNormal="160" workbookViewId="0">
      <pane ySplit="3" topLeftCell="A4" activePane="bottomLeft" state="frozen"/>
      <selection pane="bottomLeft" activeCell="C1" sqref="C1"/>
    </sheetView>
  </sheetViews>
  <sheetFormatPr baseColWidth="10" defaultColWidth="64.28515625" defaultRowHeight="10.5" x14ac:dyDescent="0.15"/>
  <cols>
    <col min="1" max="1" width="13.7109375" style="16" bestFit="1" customWidth="1"/>
    <col min="2" max="2" width="12.85546875" style="16" bestFit="1" customWidth="1"/>
    <col min="3" max="3" width="25.7109375" style="16" bestFit="1" customWidth="1"/>
    <col min="4" max="4" width="28.42578125" style="16" bestFit="1" customWidth="1"/>
    <col min="5" max="5" width="24.7109375" style="16" customWidth="1"/>
    <col min="6" max="6" width="11.7109375" style="16" hidden="1" customWidth="1"/>
    <col min="7" max="7" width="4.28515625" style="16" bestFit="1" customWidth="1"/>
    <col min="8" max="8" width="3.5703125" style="16" bestFit="1" customWidth="1"/>
    <col min="9" max="9" width="3.7109375" style="16" bestFit="1" customWidth="1"/>
    <col min="10" max="10" width="6.85546875" style="16" bestFit="1" customWidth="1"/>
    <col min="11" max="11" width="11.28515625" style="16" hidden="1" customWidth="1"/>
    <col min="12" max="12" width="27.7109375" style="11" customWidth="1"/>
    <col min="13" max="16384" width="64.28515625" style="16"/>
  </cols>
  <sheetData>
    <row r="1" spans="1:12" x14ac:dyDescent="0.15">
      <c r="A1" s="12"/>
      <c r="C1" s="31" t="s">
        <v>2685</v>
      </c>
    </row>
    <row r="2" spans="1:12" x14ac:dyDescent="0.15">
      <c r="A2" s="36" t="s">
        <v>1247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</row>
    <row r="3" spans="1:12" x14ac:dyDescent="0.15">
      <c r="A3" s="1" t="s">
        <v>1244</v>
      </c>
      <c r="B3" s="1" t="s">
        <v>1242</v>
      </c>
      <c r="C3" s="1" t="s">
        <v>6</v>
      </c>
      <c r="D3" s="1" t="s">
        <v>1245</v>
      </c>
      <c r="E3" s="1" t="s">
        <v>1246</v>
      </c>
      <c r="F3" s="1" t="s">
        <v>1</v>
      </c>
      <c r="G3" s="1" t="s">
        <v>2</v>
      </c>
      <c r="H3" s="1" t="s">
        <v>3</v>
      </c>
      <c r="I3" s="1" t="s">
        <v>4</v>
      </c>
      <c r="J3" s="1" t="s">
        <v>817</v>
      </c>
      <c r="K3" s="1" t="s">
        <v>2305</v>
      </c>
      <c r="L3" s="1" t="s">
        <v>2361</v>
      </c>
    </row>
    <row r="4" spans="1:12" x14ac:dyDescent="0.15">
      <c r="A4" s="13">
        <v>1</v>
      </c>
      <c r="B4" s="3" t="str">
        <f>"B"&amp;A4</f>
        <v>B1</v>
      </c>
      <c r="C4" s="13" t="s">
        <v>303</v>
      </c>
      <c r="D4" s="13" t="s">
        <v>466</v>
      </c>
      <c r="E4" s="13" t="s">
        <v>1065</v>
      </c>
      <c r="F4" s="13" t="s">
        <v>45</v>
      </c>
      <c r="G4" s="13" t="s">
        <v>13</v>
      </c>
      <c r="H4" s="13">
        <v>0</v>
      </c>
      <c r="I4" s="13">
        <v>1</v>
      </c>
      <c r="J4" s="13" t="s">
        <v>11</v>
      </c>
      <c r="K4" s="13"/>
      <c r="L4" s="18" t="s">
        <v>2246</v>
      </c>
    </row>
    <row r="5" spans="1:12" ht="21" x14ac:dyDescent="0.15">
      <c r="A5" s="13">
        <v>2</v>
      </c>
      <c r="B5" s="3" t="str">
        <f t="shared" ref="B5:B65" si="0">"B"&amp;A5</f>
        <v>B2</v>
      </c>
      <c r="C5" s="13" t="s">
        <v>304</v>
      </c>
      <c r="D5" s="13" t="s">
        <v>572</v>
      </c>
      <c r="E5" s="13" t="s">
        <v>1066</v>
      </c>
      <c r="F5" s="13" t="s">
        <v>0</v>
      </c>
      <c r="G5" s="13" t="s">
        <v>13</v>
      </c>
      <c r="H5" s="13">
        <v>0</v>
      </c>
      <c r="I5" s="13">
        <v>1</v>
      </c>
      <c r="J5" s="13" t="s">
        <v>16</v>
      </c>
      <c r="K5" s="13"/>
      <c r="L5" s="18" t="s">
        <v>2246</v>
      </c>
    </row>
    <row r="6" spans="1:12" ht="21" x14ac:dyDescent="0.15">
      <c r="A6" s="13">
        <v>3</v>
      </c>
      <c r="B6" s="3" t="str">
        <f t="shared" si="0"/>
        <v>B3</v>
      </c>
      <c r="C6" s="13" t="s">
        <v>306</v>
      </c>
      <c r="D6" s="13" t="s">
        <v>573</v>
      </c>
      <c r="E6" s="13" t="s">
        <v>1067</v>
      </c>
      <c r="F6" s="13" t="s">
        <v>305</v>
      </c>
      <c r="G6" s="13" t="s">
        <v>13</v>
      </c>
      <c r="H6" s="13">
        <v>0</v>
      </c>
      <c r="I6" s="13">
        <v>1</v>
      </c>
      <c r="J6" s="13" t="s">
        <v>11</v>
      </c>
      <c r="K6" s="13"/>
      <c r="L6" s="18" t="s">
        <v>2246</v>
      </c>
    </row>
    <row r="7" spans="1:12" ht="21" x14ac:dyDescent="0.15">
      <c r="A7" s="13">
        <v>4</v>
      </c>
      <c r="B7" s="3" t="str">
        <f t="shared" si="0"/>
        <v>B4</v>
      </c>
      <c r="C7" s="13" t="s">
        <v>307</v>
      </c>
      <c r="D7" s="13" t="s">
        <v>574</v>
      </c>
      <c r="E7" s="13" t="s">
        <v>1609</v>
      </c>
      <c r="F7" s="13" t="s">
        <v>45</v>
      </c>
      <c r="G7" s="13" t="s">
        <v>13</v>
      </c>
      <c r="H7" s="13">
        <v>0</v>
      </c>
      <c r="I7" s="13">
        <v>1</v>
      </c>
      <c r="J7" s="13" t="s">
        <v>11</v>
      </c>
      <c r="K7" s="13"/>
      <c r="L7" s="18" t="s">
        <v>2246</v>
      </c>
    </row>
    <row r="8" spans="1:12" ht="21" x14ac:dyDescent="0.15">
      <c r="A8" s="13">
        <v>5</v>
      </c>
      <c r="B8" s="3" t="str">
        <f t="shared" si="0"/>
        <v>B5</v>
      </c>
      <c r="C8" s="13" t="s">
        <v>308</v>
      </c>
      <c r="D8" s="13" t="s">
        <v>2174</v>
      </c>
      <c r="E8" s="13" t="s">
        <v>2175</v>
      </c>
      <c r="F8" s="13" t="s">
        <v>7</v>
      </c>
      <c r="G8" s="13" t="s">
        <v>13</v>
      </c>
      <c r="H8" s="13">
        <v>0</v>
      </c>
      <c r="I8" s="13">
        <v>1</v>
      </c>
      <c r="J8" s="13" t="s">
        <v>11</v>
      </c>
      <c r="K8" s="13"/>
      <c r="L8" s="18" t="s">
        <v>2246</v>
      </c>
    </row>
    <row r="9" spans="1:12" ht="21" x14ac:dyDescent="0.15">
      <c r="A9" s="13">
        <v>6</v>
      </c>
      <c r="B9" s="3" t="str">
        <f t="shared" si="0"/>
        <v>B6</v>
      </c>
      <c r="C9" s="13" t="s">
        <v>309</v>
      </c>
      <c r="D9" s="13" t="s">
        <v>2196</v>
      </c>
      <c r="E9" s="13" t="s">
        <v>2192</v>
      </c>
      <c r="F9" s="13" t="s">
        <v>45</v>
      </c>
      <c r="G9" s="13" t="s">
        <v>13</v>
      </c>
      <c r="H9" s="13">
        <v>0</v>
      </c>
      <c r="I9" s="13">
        <v>1</v>
      </c>
      <c r="J9" s="13" t="s">
        <v>11</v>
      </c>
      <c r="K9" s="13"/>
      <c r="L9" s="18" t="s">
        <v>2246</v>
      </c>
    </row>
    <row r="10" spans="1:12" ht="21" x14ac:dyDescent="0.15">
      <c r="A10" s="13">
        <v>7</v>
      </c>
      <c r="B10" s="3" t="str">
        <f t="shared" si="0"/>
        <v>B7</v>
      </c>
      <c r="C10" s="13" t="s">
        <v>310</v>
      </c>
      <c r="D10" s="13" t="s">
        <v>2198</v>
      </c>
      <c r="E10" s="13" t="s">
        <v>2193</v>
      </c>
      <c r="F10" s="13" t="s">
        <v>45</v>
      </c>
      <c r="G10" s="13" t="s">
        <v>13</v>
      </c>
      <c r="H10" s="13">
        <v>0</v>
      </c>
      <c r="I10" s="13">
        <v>1</v>
      </c>
      <c r="J10" s="13" t="s">
        <v>11</v>
      </c>
      <c r="K10" s="13"/>
      <c r="L10" s="18" t="s">
        <v>2246</v>
      </c>
    </row>
    <row r="11" spans="1:12" ht="21" x14ac:dyDescent="0.15">
      <c r="A11" s="13">
        <v>8</v>
      </c>
      <c r="B11" s="3" t="str">
        <f t="shared" si="0"/>
        <v>B8</v>
      </c>
      <c r="C11" s="13" t="s">
        <v>311</v>
      </c>
      <c r="D11" s="13" t="s">
        <v>2197</v>
      </c>
      <c r="E11" s="13" t="s">
        <v>2194</v>
      </c>
      <c r="F11" s="13" t="s">
        <v>45</v>
      </c>
      <c r="G11" s="13" t="s">
        <v>13</v>
      </c>
      <c r="H11" s="13">
        <v>0</v>
      </c>
      <c r="I11" s="13">
        <v>1</v>
      </c>
      <c r="J11" s="13" t="s">
        <v>11</v>
      </c>
      <c r="K11" s="13"/>
      <c r="L11" s="18" t="s">
        <v>2246</v>
      </c>
    </row>
    <row r="12" spans="1:12" ht="21" x14ac:dyDescent="0.15">
      <c r="A12" s="13">
        <v>9</v>
      </c>
      <c r="B12" s="3" t="str">
        <f t="shared" si="0"/>
        <v>B9</v>
      </c>
      <c r="C12" s="13" t="s">
        <v>312</v>
      </c>
      <c r="D12" s="13" t="s">
        <v>2199</v>
      </c>
      <c r="E12" s="13" t="s">
        <v>2195</v>
      </c>
      <c r="F12" s="13" t="s">
        <v>45</v>
      </c>
      <c r="G12" s="13" t="s">
        <v>13</v>
      </c>
      <c r="H12" s="13">
        <v>0</v>
      </c>
      <c r="I12" s="13">
        <v>1</v>
      </c>
      <c r="J12" s="13" t="s">
        <v>11</v>
      </c>
      <c r="K12" s="13"/>
      <c r="L12" s="18" t="s">
        <v>2246</v>
      </c>
    </row>
    <row r="13" spans="1:12" x14ac:dyDescent="0.15">
      <c r="A13" s="13">
        <v>10</v>
      </c>
      <c r="B13" s="3" t="str">
        <f t="shared" si="0"/>
        <v>B10</v>
      </c>
      <c r="C13" s="13" t="s">
        <v>313</v>
      </c>
      <c r="D13" s="13" t="s">
        <v>467</v>
      </c>
      <c r="E13" s="13" t="s">
        <v>1068</v>
      </c>
      <c r="F13" s="13" t="s">
        <v>45</v>
      </c>
      <c r="G13" s="13" t="s">
        <v>13</v>
      </c>
      <c r="H13" s="13">
        <v>0</v>
      </c>
      <c r="I13" s="13">
        <v>1</v>
      </c>
      <c r="J13" s="13" t="s">
        <v>11</v>
      </c>
      <c r="K13" s="13"/>
      <c r="L13" s="18" t="s">
        <v>2246</v>
      </c>
    </row>
    <row r="14" spans="1:12" ht="21" x14ac:dyDescent="0.15">
      <c r="A14" s="13">
        <v>11</v>
      </c>
      <c r="B14" s="3" t="str">
        <f t="shared" si="0"/>
        <v>B11</v>
      </c>
      <c r="C14" s="13" t="s">
        <v>314</v>
      </c>
      <c r="D14" s="13" t="s">
        <v>2200</v>
      </c>
      <c r="E14" s="13" t="s">
        <v>2201</v>
      </c>
      <c r="F14" s="13" t="s">
        <v>0</v>
      </c>
      <c r="G14" s="13" t="s">
        <v>13</v>
      </c>
      <c r="H14" s="13">
        <v>0</v>
      </c>
      <c r="I14" s="13">
        <v>1</v>
      </c>
      <c r="J14" s="13" t="s">
        <v>11</v>
      </c>
      <c r="K14" s="13"/>
      <c r="L14" s="18" t="s">
        <v>2246</v>
      </c>
    </row>
    <row r="15" spans="1:12" ht="21" x14ac:dyDescent="0.15">
      <c r="A15" s="13">
        <v>12</v>
      </c>
      <c r="B15" s="3" t="str">
        <f t="shared" si="0"/>
        <v>B12</v>
      </c>
      <c r="C15" s="13" t="s">
        <v>315</v>
      </c>
      <c r="D15" s="13" t="s">
        <v>2205</v>
      </c>
      <c r="E15" s="13" t="s">
        <v>2202</v>
      </c>
      <c r="F15" s="13" t="s">
        <v>45</v>
      </c>
      <c r="G15" s="13" t="s">
        <v>13</v>
      </c>
      <c r="H15" s="13">
        <v>0</v>
      </c>
      <c r="I15" s="13">
        <v>1</v>
      </c>
      <c r="J15" s="13" t="s">
        <v>11</v>
      </c>
      <c r="K15" s="13"/>
      <c r="L15" s="18" t="s">
        <v>2246</v>
      </c>
    </row>
    <row r="16" spans="1:12" ht="21" x14ac:dyDescent="0.15">
      <c r="A16" s="13">
        <v>13</v>
      </c>
      <c r="B16" s="3" t="str">
        <f t="shared" si="0"/>
        <v>B13</v>
      </c>
      <c r="C16" s="13" t="s">
        <v>316</v>
      </c>
      <c r="D16" s="13" t="s">
        <v>2206</v>
      </c>
      <c r="E16" s="13" t="s">
        <v>2203</v>
      </c>
      <c r="F16" s="13" t="s">
        <v>45</v>
      </c>
      <c r="G16" s="13" t="s">
        <v>13</v>
      </c>
      <c r="H16" s="13">
        <v>0</v>
      </c>
      <c r="I16" s="13">
        <v>1</v>
      </c>
      <c r="J16" s="13" t="s">
        <v>11</v>
      </c>
      <c r="K16" s="13"/>
      <c r="L16" s="18" t="s">
        <v>2246</v>
      </c>
    </row>
    <row r="17" spans="1:12" ht="21" x14ac:dyDescent="0.15">
      <c r="A17" s="13">
        <v>14</v>
      </c>
      <c r="B17" s="3" t="str">
        <f t="shared" si="0"/>
        <v>B14</v>
      </c>
      <c r="C17" s="13" t="s">
        <v>317</v>
      </c>
      <c r="D17" s="13" t="s">
        <v>2207</v>
      </c>
      <c r="E17" s="13" t="s">
        <v>2204</v>
      </c>
      <c r="F17" s="13" t="s">
        <v>45</v>
      </c>
      <c r="G17" s="13" t="s">
        <v>13</v>
      </c>
      <c r="H17" s="13">
        <v>0</v>
      </c>
      <c r="I17" s="13">
        <v>1</v>
      </c>
      <c r="J17" s="13" t="s">
        <v>11</v>
      </c>
      <c r="K17" s="13"/>
      <c r="L17" s="18" t="s">
        <v>2246</v>
      </c>
    </row>
    <row r="18" spans="1:12" ht="21" x14ac:dyDescent="0.15">
      <c r="A18" s="13">
        <v>15</v>
      </c>
      <c r="B18" s="3" t="str">
        <f t="shared" si="0"/>
        <v>B15</v>
      </c>
      <c r="C18" s="13" t="s">
        <v>318</v>
      </c>
      <c r="D18" s="13" t="s">
        <v>575</v>
      </c>
      <c r="E18" s="13" t="s">
        <v>1611</v>
      </c>
      <c r="F18" s="13" t="s">
        <v>0</v>
      </c>
      <c r="G18" s="13" t="s">
        <v>13</v>
      </c>
      <c r="H18" s="13">
        <v>0</v>
      </c>
      <c r="I18" s="13">
        <v>1</v>
      </c>
      <c r="J18" s="13" t="s">
        <v>16</v>
      </c>
      <c r="K18" s="13"/>
      <c r="L18" s="18" t="s">
        <v>2246</v>
      </c>
    </row>
    <row r="19" spans="1:12" x14ac:dyDescent="0.15">
      <c r="A19" s="13">
        <v>16</v>
      </c>
      <c r="B19" s="3" t="str">
        <f t="shared" si="0"/>
        <v>B16</v>
      </c>
      <c r="C19" s="13" t="s">
        <v>320</v>
      </c>
      <c r="D19" s="13" t="s">
        <v>319</v>
      </c>
      <c r="E19" s="13" t="s">
        <v>1612</v>
      </c>
      <c r="F19" s="13" t="s">
        <v>81</v>
      </c>
      <c r="G19" s="13" t="s">
        <v>13</v>
      </c>
      <c r="H19" s="13">
        <v>0</v>
      </c>
      <c r="I19" s="13">
        <v>1</v>
      </c>
      <c r="J19" s="13" t="s">
        <v>16</v>
      </c>
      <c r="K19" s="13"/>
      <c r="L19" s="18" t="s">
        <v>2246</v>
      </c>
    </row>
    <row r="20" spans="1:12" ht="31.5" x14ac:dyDescent="0.15">
      <c r="A20" s="13">
        <v>17</v>
      </c>
      <c r="B20" s="3" t="str">
        <f t="shared" si="0"/>
        <v>B17</v>
      </c>
      <c r="C20" s="13" t="s">
        <v>321</v>
      </c>
      <c r="D20" s="13" t="s">
        <v>2236</v>
      </c>
      <c r="E20" s="13" t="s">
        <v>2176</v>
      </c>
      <c r="F20" s="13" t="s">
        <v>0</v>
      </c>
      <c r="G20" s="13" t="s">
        <v>13</v>
      </c>
      <c r="H20" s="13">
        <v>0</v>
      </c>
      <c r="I20" s="13">
        <v>1</v>
      </c>
      <c r="J20" s="13" t="s">
        <v>16</v>
      </c>
      <c r="K20" s="13"/>
      <c r="L20" s="18" t="s">
        <v>2246</v>
      </c>
    </row>
    <row r="21" spans="1:12" ht="31.5" x14ac:dyDescent="0.15">
      <c r="A21" s="13">
        <v>18</v>
      </c>
      <c r="B21" s="3" t="str">
        <f t="shared" si="0"/>
        <v>B18</v>
      </c>
      <c r="C21" s="13" t="s">
        <v>322</v>
      </c>
      <c r="D21" s="13" t="s">
        <v>2235</v>
      </c>
      <c r="E21" s="13" t="s">
        <v>2177</v>
      </c>
      <c r="F21" s="13" t="s">
        <v>0</v>
      </c>
      <c r="G21" s="13" t="s">
        <v>13</v>
      </c>
      <c r="H21" s="13">
        <v>0</v>
      </c>
      <c r="I21" s="13">
        <v>1</v>
      </c>
      <c r="J21" s="13" t="s">
        <v>16</v>
      </c>
      <c r="K21" s="13"/>
      <c r="L21" s="18" t="s">
        <v>2246</v>
      </c>
    </row>
    <row r="22" spans="1:12" ht="31.5" x14ac:dyDescent="0.15">
      <c r="A22" s="13">
        <v>19</v>
      </c>
      <c r="B22" s="3" t="str">
        <f t="shared" si="0"/>
        <v>B19</v>
      </c>
      <c r="C22" s="13" t="s">
        <v>323</v>
      </c>
      <c r="D22" s="13" t="s">
        <v>2234</v>
      </c>
      <c r="E22" s="13" t="s">
        <v>2178</v>
      </c>
      <c r="F22" s="13" t="s">
        <v>0</v>
      </c>
      <c r="G22" s="13" t="s">
        <v>13</v>
      </c>
      <c r="H22" s="13">
        <v>0</v>
      </c>
      <c r="I22" s="13">
        <v>1</v>
      </c>
      <c r="J22" s="13" t="s">
        <v>16</v>
      </c>
      <c r="K22" s="13"/>
      <c r="L22" s="18" t="s">
        <v>2246</v>
      </c>
    </row>
    <row r="23" spans="1:12" ht="31.5" x14ac:dyDescent="0.15">
      <c r="A23" s="13">
        <v>20</v>
      </c>
      <c r="B23" s="3" t="str">
        <f t="shared" si="0"/>
        <v>B20</v>
      </c>
      <c r="C23" s="13" t="s">
        <v>324</v>
      </c>
      <c r="D23" s="13" t="s">
        <v>2233</v>
      </c>
      <c r="E23" s="13" t="s">
        <v>2179</v>
      </c>
      <c r="F23" s="13" t="s">
        <v>0</v>
      </c>
      <c r="G23" s="13" t="s">
        <v>13</v>
      </c>
      <c r="H23" s="13">
        <v>0</v>
      </c>
      <c r="I23" s="13">
        <v>1</v>
      </c>
      <c r="J23" s="13" t="s">
        <v>16</v>
      </c>
      <c r="K23" s="13"/>
      <c r="L23" s="18" t="s">
        <v>2246</v>
      </c>
    </row>
    <row r="24" spans="1:12" ht="31.5" x14ac:dyDescent="0.15">
      <c r="A24" s="13">
        <v>21</v>
      </c>
      <c r="B24" s="3" t="str">
        <f t="shared" si="0"/>
        <v>B21</v>
      </c>
      <c r="C24" s="13" t="s">
        <v>325</v>
      </c>
      <c r="D24" s="13" t="s">
        <v>2232</v>
      </c>
      <c r="E24" s="13" t="s">
        <v>2180</v>
      </c>
      <c r="F24" s="13" t="s">
        <v>0</v>
      </c>
      <c r="G24" s="13" t="s">
        <v>13</v>
      </c>
      <c r="H24" s="13">
        <v>0</v>
      </c>
      <c r="I24" s="13">
        <v>1</v>
      </c>
      <c r="J24" s="13" t="s">
        <v>16</v>
      </c>
      <c r="K24" s="13"/>
      <c r="L24" s="18" t="s">
        <v>2246</v>
      </c>
    </row>
    <row r="25" spans="1:12" ht="31.5" x14ac:dyDescent="0.15">
      <c r="A25" s="13">
        <v>22</v>
      </c>
      <c r="B25" s="3" t="str">
        <f t="shared" si="0"/>
        <v>B22</v>
      </c>
      <c r="C25" s="13" t="s">
        <v>326</v>
      </c>
      <c r="D25" s="13" t="s">
        <v>2231</v>
      </c>
      <c r="E25" s="13" t="s">
        <v>2181</v>
      </c>
      <c r="F25" s="13" t="s">
        <v>0</v>
      </c>
      <c r="G25" s="13" t="s">
        <v>13</v>
      </c>
      <c r="H25" s="13">
        <v>0</v>
      </c>
      <c r="I25" s="13">
        <v>1</v>
      </c>
      <c r="J25" s="13" t="s">
        <v>16</v>
      </c>
      <c r="K25" s="13"/>
      <c r="L25" s="18" t="s">
        <v>2246</v>
      </c>
    </row>
    <row r="26" spans="1:12" ht="21" x14ac:dyDescent="0.15">
      <c r="A26" s="13">
        <v>23</v>
      </c>
      <c r="B26" s="3" t="str">
        <f t="shared" si="0"/>
        <v>B23</v>
      </c>
      <c r="C26" s="13" t="s">
        <v>327</v>
      </c>
      <c r="D26" s="13" t="s">
        <v>576</v>
      </c>
      <c r="E26" s="13" t="s">
        <v>1613</v>
      </c>
      <c r="F26" s="13" t="s">
        <v>0</v>
      </c>
      <c r="G26" s="13" t="s">
        <v>13</v>
      </c>
      <c r="H26" s="13">
        <v>0</v>
      </c>
      <c r="I26" s="13">
        <v>1</v>
      </c>
      <c r="J26" s="13" t="s">
        <v>16</v>
      </c>
      <c r="K26" s="13"/>
      <c r="L26" s="18" t="s">
        <v>2246</v>
      </c>
    </row>
    <row r="27" spans="1:12" ht="21" x14ac:dyDescent="0.15">
      <c r="A27" s="13">
        <v>24</v>
      </c>
      <c r="B27" s="3" t="str">
        <f t="shared" si="0"/>
        <v>B24</v>
      </c>
      <c r="C27" s="13" t="s">
        <v>328</v>
      </c>
      <c r="D27" s="13" t="s">
        <v>2223</v>
      </c>
      <c r="E27" s="13" t="s">
        <v>2190</v>
      </c>
      <c r="F27" s="13" t="s">
        <v>45</v>
      </c>
      <c r="G27" s="13" t="s">
        <v>13</v>
      </c>
      <c r="H27" s="13">
        <v>0</v>
      </c>
      <c r="I27" s="13">
        <v>1</v>
      </c>
      <c r="J27" s="13" t="s">
        <v>11</v>
      </c>
      <c r="K27" s="13"/>
      <c r="L27" s="18" t="s">
        <v>2246</v>
      </c>
    </row>
    <row r="28" spans="1:12" ht="21" x14ac:dyDescent="0.15">
      <c r="A28" s="13">
        <v>25</v>
      </c>
      <c r="B28" s="3" t="str">
        <f t="shared" si="0"/>
        <v>B25</v>
      </c>
      <c r="C28" s="13" t="s">
        <v>329</v>
      </c>
      <c r="D28" s="13" t="s">
        <v>2222</v>
      </c>
      <c r="E28" s="13" t="s">
        <v>2189</v>
      </c>
      <c r="F28" s="13" t="s">
        <v>45</v>
      </c>
      <c r="G28" s="13" t="s">
        <v>13</v>
      </c>
      <c r="H28" s="13">
        <v>0</v>
      </c>
      <c r="I28" s="13">
        <v>1</v>
      </c>
      <c r="J28" s="13" t="s">
        <v>11</v>
      </c>
      <c r="K28" s="13"/>
      <c r="L28" s="18" t="s">
        <v>2246</v>
      </c>
    </row>
    <row r="29" spans="1:12" ht="21" x14ac:dyDescent="0.15">
      <c r="A29" s="13">
        <v>26</v>
      </c>
      <c r="B29" s="3" t="str">
        <f t="shared" si="0"/>
        <v>B26</v>
      </c>
      <c r="C29" s="13" t="s">
        <v>330</v>
      </c>
      <c r="D29" s="13" t="s">
        <v>577</v>
      </c>
      <c r="E29" s="13" t="s">
        <v>1614</v>
      </c>
      <c r="F29" s="13" t="s">
        <v>0</v>
      </c>
      <c r="G29" s="13" t="s">
        <v>13</v>
      </c>
      <c r="H29" s="13">
        <v>0</v>
      </c>
      <c r="I29" s="13">
        <v>1</v>
      </c>
      <c r="J29" s="13" t="s">
        <v>11</v>
      </c>
      <c r="K29" s="13"/>
      <c r="L29" s="18" t="s">
        <v>2246</v>
      </c>
    </row>
    <row r="30" spans="1:12" ht="21" x14ac:dyDescent="0.15">
      <c r="A30" s="13">
        <v>27</v>
      </c>
      <c r="B30" s="3" t="str">
        <f t="shared" si="0"/>
        <v>B27</v>
      </c>
      <c r="C30" s="13" t="s">
        <v>331</v>
      </c>
      <c r="D30" s="13" t="s">
        <v>2211</v>
      </c>
      <c r="E30" s="13" t="s">
        <v>2191</v>
      </c>
      <c r="F30" s="13" t="s">
        <v>45</v>
      </c>
      <c r="G30" s="13" t="s">
        <v>13</v>
      </c>
      <c r="H30" s="13">
        <v>0</v>
      </c>
      <c r="I30" s="13">
        <v>1</v>
      </c>
      <c r="J30" s="13" t="s">
        <v>11</v>
      </c>
      <c r="K30" s="13"/>
      <c r="L30" s="18" t="s">
        <v>2246</v>
      </c>
    </row>
    <row r="31" spans="1:12" ht="21" x14ac:dyDescent="0.15">
      <c r="A31" s="13">
        <v>28</v>
      </c>
      <c r="B31" s="3" t="str">
        <f t="shared" si="0"/>
        <v>B28</v>
      </c>
      <c r="C31" s="13" t="s">
        <v>332</v>
      </c>
      <c r="D31" s="13" t="s">
        <v>2221</v>
      </c>
      <c r="E31" s="13" t="s">
        <v>2188</v>
      </c>
      <c r="F31" s="13" t="s">
        <v>45</v>
      </c>
      <c r="G31" s="13" t="s">
        <v>13</v>
      </c>
      <c r="H31" s="13">
        <v>0</v>
      </c>
      <c r="I31" s="13">
        <v>1</v>
      </c>
      <c r="J31" s="13" t="s">
        <v>11</v>
      </c>
      <c r="K31" s="13"/>
      <c r="L31" s="18" t="s">
        <v>2246</v>
      </c>
    </row>
    <row r="32" spans="1:12" ht="21" x14ac:dyDescent="0.15">
      <c r="A32" s="13">
        <v>29</v>
      </c>
      <c r="B32" s="3" t="str">
        <f t="shared" si="0"/>
        <v>B29</v>
      </c>
      <c r="C32" s="13" t="s">
        <v>333</v>
      </c>
      <c r="D32" s="13" t="s">
        <v>2220</v>
      </c>
      <c r="E32" s="13" t="s">
        <v>2186</v>
      </c>
      <c r="F32" s="13" t="s">
        <v>45</v>
      </c>
      <c r="G32" s="13" t="s">
        <v>13</v>
      </c>
      <c r="H32" s="13">
        <v>0</v>
      </c>
      <c r="I32" s="13">
        <v>1</v>
      </c>
      <c r="J32" s="13" t="s">
        <v>11</v>
      </c>
      <c r="K32" s="13"/>
      <c r="L32" s="18" t="s">
        <v>2246</v>
      </c>
    </row>
    <row r="33" spans="1:12" ht="21" x14ac:dyDescent="0.15">
      <c r="A33" s="13">
        <v>30</v>
      </c>
      <c r="B33" s="3" t="str">
        <f t="shared" si="0"/>
        <v>B30</v>
      </c>
      <c r="C33" s="13" t="s">
        <v>334</v>
      </c>
      <c r="D33" s="13" t="s">
        <v>578</v>
      </c>
      <c r="E33" s="13" t="s">
        <v>1615</v>
      </c>
      <c r="F33" s="13" t="s">
        <v>0</v>
      </c>
      <c r="G33" s="13" t="s">
        <v>13</v>
      </c>
      <c r="H33" s="13">
        <v>0</v>
      </c>
      <c r="I33" s="13">
        <v>1</v>
      </c>
      <c r="J33" s="13" t="s">
        <v>11</v>
      </c>
      <c r="K33" s="13"/>
      <c r="L33" s="18" t="s">
        <v>2246</v>
      </c>
    </row>
    <row r="34" spans="1:12" ht="21" x14ac:dyDescent="0.15">
      <c r="A34" s="13">
        <v>31</v>
      </c>
      <c r="B34" s="3" t="str">
        <f t="shared" si="0"/>
        <v>B31</v>
      </c>
      <c r="C34" s="13" t="s">
        <v>335</v>
      </c>
      <c r="D34" s="13" t="s">
        <v>2219</v>
      </c>
      <c r="E34" s="13" t="s">
        <v>2187</v>
      </c>
      <c r="F34" s="13" t="s">
        <v>45</v>
      </c>
      <c r="G34" s="13" t="s">
        <v>13</v>
      </c>
      <c r="H34" s="13">
        <v>0</v>
      </c>
      <c r="I34" s="13">
        <v>1</v>
      </c>
      <c r="J34" s="13" t="s">
        <v>11</v>
      </c>
      <c r="K34" s="13"/>
      <c r="L34" s="18" t="s">
        <v>2246</v>
      </c>
    </row>
    <row r="35" spans="1:12" ht="21" x14ac:dyDescent="0.15">
      <c r="A35" s="13">
        <v>32</v>
      </c>
      <c r="B35" s="3" t="str">
        <f t="shared" si="0"/>
        <v>B32</v>
      </c>
      <c r="C35" s="13" t="s">
        <v>336</v>
      </c>
      <c r="D35" s="13" t="s">
        <v>2218</v>
      </c>
      <c r="E35" s="13" t="s">
        <v>2185</v>
      </c>
      <c r="F35" s="13" t="s">
        <v>45</v>
      </c>
      <c r="G35" s="13" t="s">
        <v>13</v>
      </c>
      <c r="H35" s="13">
        <v>0</v>
      </c>
      <c r="I35" s="13">
        <v>1</v>
      </c>
      <c r="J35" s="13" t="s">
        <v>11</v>
      </c>
      <c r="K35" s="13"/>
      <c r="L35" s="18" t="s">
        <v>2246</v>
      </c>
    </row>
    <row r="36" spans="1:12" ht="21" x14ac:dyDescent="0.15">
      <c r="A36" s="13">
        <v>33</v>
      </c>
      <c r="B36" s="3" t="str">
        <f t="shared" si="0"/>
        <v>B33</v>
      </c>
      <c r="C36" s="13" t="s">
        <v>337</v>
      </c>
      <c r="D36" s="13" t="s">
        <v>2217</v>
      </c>
      <c r="E36" s="13" t="s">
        <v>2184</v>
      </c>
      <c r="F36" s="13" t="s">
        <v>45</v>
      </c>
      <c r="G36" s="13" t="s">
        <v>13</v>
      </c>
      <c r="H36" s="13">
        <v>0</v>
      </c>
      <c r="I36" s="13">
        <v>1</v>
      </c>
      <c r="J36" s="13" t="s">
        <v>11</v>
      </c>
      <c r="K36" s="13"/>
      <c r="L36" s="18" t="s">
        <v>2246</v>
      </c>
    </row>
    <row r="37" spans="1:12" ht="21" x14ac:dyDescent="0.15">
      <c r="A37" s="13">
        <v>34</v>
      </c>
      <c r="B37" s="3" t="str">
        <f t="shared" si="0"/>
        <v>B34</v>
      </c>
      <c r="C37" s="13" t="s">
        <v>338</v>
      </c>
      <c r="D37" s="13" t="s">
        <v>579</v>
      </c>
      <c r="E37" s="13" t="s">
        <v>1616</v>
      </c>
      <c r="F37" s="13" t="s">
        <v>0</v>
      </c>
      <c r="G37" s="13" t="s">
        <v>13</v>
      </c>
      <c r="H37" s="13">
        <v>0</v>
      </c>
      <c r="I37" s="13">
        <v>1</v>
      </c>
      <c r="J37" s="13" t="s">
        <v>11</v>
      </c>
      <c r="K37" s="13"/>
      <c r="L37" s="18" t="s">
        <v>2246</v>
      </c>
    </row>
    <row r="38" spans="1:12" ht="21" x14ac:dyDescent="0.15">
      <c r="A38" s="13">
        <v>35</v>
      </c>
      <c r="B38" s="3" t="str">
        <f t="shared" si="0"/>
        <v>B35</v>
      </c>
      <c r="C38" s="13" t="s">
        <v>339</v>
      </c>
      <c r="D38" s="13" t="s">
        <v>2208</v>
      </c>
      <c r="E38" s="13" t="s">
        <v>2209</v>
      </c>
      <c r="F38" s="13" t="s">
        <v>45</v>
      </c>
      <c r="G38" s="13" t="s">
        <v>13</v>
      </c>
      <c r="H38" s="13">
        <v>0</v>
      </c>
      <c r="I38" s="13">
        <v>1</v>
      </c>
      <c r="J38" s="13" t="s">
        <v>11</v>
      </c>
      <c r="K38" s="13"/>
      <c r="L38" s="18" t="s">
        <v>2246</v>
      </c>
    </row>
    <row r="39" spans="1:12" ht="21" x14ac:dyDescent="0.15">
      <c r="A39" s="13">
        <v>36</v>
      </c>
      <c r="B39" s="3" t="str">
        <f t="shared" si="0"/>
        <v>B36</v>
      </c>
      <c r="C39" s="13" t="s">
        <v>340</v>
      </c>
      <c r="D39" s="13" t="s">
        <v>580</v>
      </c>
      <c r="E39" s="13" t="s">
        <v>1617</v>
      </c>
      <c r="F39" s="13" t="s">
        <v>45</v>
      </c>
      <c r="G39" s="13" t="s">
        <v>13</v>
      </c>
      <c r="H39" s="13">
        <v>0</v>
      </c>
      <c r="I39" s="13">
        <v>1</v>
      </c>
      <c r="J39" s="13" t="s">
        <v>11</v>
      </c>
      <c r="K39" s="13"/>
      <c r="L39" s="18" t="s">
        <v>2246</v>
      </c>
    </row>
    <row r="40" spans="1:12" ht="42" x14ac:dyDescent="0.15">
      <c r="A40" s="13">
        <v>37</v>
      </c>
      <c r="B40" s="3" t="str">
        <f t="shared" si="0"/>
        <v>B37</v>
      </c>
      <c r="C40" s="13" t="s">
        <v>341</v>
      </c>
      <c r="D40" s="13" t="s">
        <v>581</v>
      </c>
      <c r="E40" s="13" t="s">
        <v>1618</v>
      </c>
      <c r="F40" s="13" t="s">
        <v>45</v>
      </c>
      <c r="G40" s="13" t="s">
        <v>13</v>
      </c>
      <c r="H40" s="13">
        <v>0</v>
      </c>
      <c r="I40" s="13">
        <v>1</v>
      </c>
      <c r="J40" s="13" t="s">
        <v>11</v>
      </c>
      <c r="K40" s="13"/>
      <c r="L40" s="18" t="s">
        <v>2246</v>
      </c>
    </row>
    <row r="41" spans="1:12" ht="31.5" x14ac:dyDescent="0.15">
      <c r="A41" s="13">
        <v>38</v>
      </c>
      <c r="B41" s="3" t="str">
        <f t="shared" si="0"/>
        <v>B38</v>
      </c>
      <c r="C41" s="13" t="s">
        <v>342</v>
      </c>
      <c r="D41" s="13" t="s">
        <v>2216</v>
      </c>
      <c r="E41" s="13" t="s">
        <v>2182</v>
      </c>
      <c r="F41" s="13" t="s">
        <v>45</v>
      </c>
      <c r="G41" s="13" t="s">
        <v>13</v>
      </c>
      <c r="H41" s="13">
        <v>0</v>
      </c>
      <c r="I41" s="13">
        <v>1</v>
      </c>
      <c r="J41" s="13" t="s">
        <v>11</v>
      </c>
      <c r="K41" s="13"/>
      <c r="L41" s="18" t="s">
        <v>2246</v>
      </c>
    </row>
    <row r="42" spans="1:12" ht="31.5" x14ac:dyDescent="0.15">
      <c r="A42" s="13">
        <v>39</v>
      </c>
      <c r="B42" s="3" t="str">
        <f t="shared" si="0"/>
        <v>B39</v>
      </c>
      <c r="C42" s="13" t="s">
        <v>343</v>
      </c>
      <c r="D42" s="13" t="s">
        <v>2215</v>
      </c>
      <c r="E42" s="13" t="s">
        <v>2183</v>
      </c>
      <c r="F42" s="13" t="s">
        <v>45</v>
      </c>
      <c r="G42" s="13" t="s">
        <v>13</v>
      </c>
      <c r="H42" s="13">
        <v>0</v>
      </c>
      <c r="I42" s="13">
        <v>1</v>
      </c>
      <c r="J42" s="13" t="s">
        <v>11</v>
      </c>
      <c r="K42" s="13"/>
      <c r="L42" s="18" t="s">
        <v>2246</v>
      </c>
    </row>
    <row r="43" spans="1:12" x14ac:dyDescent="0.15">
      <c r="A43" s="13">
        <v>40</v>
      </c>
      <c r="B43" s="3" t="str">
        <f t="shared" si="0"/>
        <v>B40</v>
      </c>
      <c r="C43" s="13" t="s">
        <v>344</v>
      </c>
      <c r="D43" s="13" t="s">
        <v>583</v>
      </c>
      <c r="E43" s="13" t="s">
        <v>1619</v>
      </c>
      <c r="F43" s="13" t="s">
        <v>0</v>
      </c>
      <c r="G43" s="13" t="s">
        <v>13</v>
      </c>
      <c r="H43" s="13">
        <v>0</v>
      </c>
      <c r="I43" s="13">
        <v>1</v>
      </c>
      <c r="J43" s="13" t="s">
        <v>11</v>
      </c>
      <c r="K43" s="13"/>
      <c r="L43" s="18" t="s">
        <v>2246</v>
      </c>
    </row>
    <row r="44" spans="1:12" x14ac:dyDescent="0.15">
      <c r="A44" s="13">
        <v>41</v>
      </c>
      <c r="B44" s="3" t="str">
        <f t="shared" si="0"/>
        <v>B41</v>
      </c>
      <c r="C44" s="13" t="s">
        <v>345</v>
      </c>
      <c r="D44" s="13" t="s">
        <v>584</v>
      </c>
      <c r="E44" s="13" t="s">
        <v>1620</v>
      </c>
      <c r="F44" s="13" t="s">
        <v>0</v>
      </c>
      <c r="G44" s="13" t="s">
        <v>13</v>
      </c>
      <c r="H44" s="13">
        <v>0</v>
      </c>
      <c r="I44" s="13">
        <v>1</v>
      </c>
      <c r="J44" s="13" t="s">
        <v>11</v>
      </c>
      <c r="K44" s="13"/>
      <c r="L44" s="18" t="s">
        <v>2246</v>
      </c>
    </row>
    <row r="45" spans="1:12" x14ac:dyDescent="0.15">
      <c r="A45" s="13">
        <v>42</v>
      </c>
      <c r="B45" s="3" t="str">
        <f t="shared" si="0"/>
        <v>B42</v>
      </c>
      <c r="C45" s="13" t="s">
        <v>346</v>
      </c>
      <c r="D45" s="13" t="s">
        <v>585</v>
      </c>
      <c r="E45" s="13" t="s">
        <v>1621</v>
      </c>
      <c r="F45" s="13" t="s">
        <v>0</v>
      </c>
      <c r="G45" s="13" t="s">
        <v>13</v>
      </c>
      <c r="H45" s="13">
        <v>0</v>
      </c>
      <c r="I45" s="13">
        <v>1</v>
      </c>
      <c r="J45" s="13" t="s">
        <v>11</v>
      </c>
      <c r="K45" s="13"/>
      <c r="L45" s="18" t="s">
        <v>2246</v>
      </c>
    </row>
    <row r="46" spans="1:12" x14ac:dyDescent="0.15">
      <c r="A46" s="13">
        <v>43</v>
      </c>
      <c r="B46" s="3" t="str">
        <f t="shared" si="0"/>
        <v>B43</v>
      </c>
      <c r="C46" s="13" t="s">
        <v>347</v>
      </c>
      <c r="D46" s="13" t="s">
        <v>586</v>
      </c>
      <c r="E46" s="13" t="s">
        <v>1622</v>
      </c>
      <c r="F46" s="13" t="s">
        <v>0</v>
      </c>
      <c r="G46" s="13" t="s">
        <v>13</v>
      </c>
      <c r="H46" s="13">
        <v>0</v>
      </c>
      <c r="I46" s="13">
        <v>1</v>
      </c>
      <c r="J46" s="13" t="s">
        <v>16</v>
      </c>
      <c r="K46" s="13"/>
      <c r="L46" s="18" t="s">
        <v>2246</v>
      </c>
    </row>
    <row r="47" spans="1:12" x14ac:dyDescent="0.15">
      <c r="A47" s="13">
        <v>45</v>
      </c>
      <c r="B47" s="3" t="str">
        <f t="shared" si="0"/>
        <v>B45</v>
      </c>
      <c r="C47" s="13" t="s">
        <v>348</v>
      </c>
      <c r="D47" s="13" t="s">
        <v>587</v>
      </c>
      <c r="E47" s="13" t="s">
        <v>1623</v>
      </c>
      <c r="F47" s="13" t="s">
        <v>0</v>
      </c>
      <c r="G47" s="13" t="s">
        <v>13</v>
      </c>
      <c r="H47" s="13">
        <v>0</v>
      </c>
      <c r="I47" s="13">
        <v>1</v>
      </c>
      <c r="J47" s="13" t="s">
        <v>11</v>
      </c>
      <c r="K47" s="13"/>
      <c r="L47" s="18" t="s">
        <v>2246</v>
      </c>
    </row>
    <row r="48" spans="1:12" ht="21" x14ac:dyDescent="0.15">
      <c r="A48" s="13">
        <v>46</v>
      </c>
      <c r="B48" s="3" t="str">
        <f t="shared" si="0"/>
        <v>B46</v>
      </c>
      <c r="C48" s="13" t="s">
        <v>349</v>
      </c>
      <c r="D48" s="13" t="s">
        <v>2214</v>
      </c>
      <c r="E48" s="13" t="s">
        <v>2210</v>
      </c>
      <c r="F48" s="13" t="s">
        <v>45</v>
      </c>
      <c r="G48" s="13" t="s">
        <v>13</v>
      </c>
      <c r="H48" s="13">
        <v>0</v>
      </c>
      <c r="I48" s="13">
        <v>1</v>
      </c>
      <c r="J48" s="13" t="s">
        <v>11</v>
      </c>
      <c r="K48" s="13"/>
      <c r="L48" s="18" t="s">
        <v>2246</v>
      </c>
    </row>
    <row r="49" spans="1:12" x14ac:dyDescent="0.15">
      <c r="A49" s="13">
        <v>47</v>
      </c>
      <c r="B49" s="3" t="str">
        <f t="shared" si="0"/>
        <v>B47</v>
      </c>
      <c r="C49" s="13" t="s">
        <v>350</v>
      </c>
      <c r="D49" s="13" t="s">
        <v>588</v>
      </c>
      <c r="E49" s="13" t="s">
        <v>1625</v>
      </c>
      <c r="F49" s="13" t="s">
        <v>0</v>
      </c>
      <c r="G49" s="13" t="s">
        <v>13</v>
      </c>
      <c r="H49" s="13">
        <v>0</v>
      </c>
      <c r="I49" s="13">
        <v>1</v>
      </c>
      <c r="J49" s="13" t="s">
        <v>11</v>
      </c>
      <c r="K49" s="13"/>
      <c r="L49" s="18" t="s">
        <v>2246</v>
      </c>
    </row>
    <row r="50" spans="1:12" x14ac:dyDescent="0.15">
      <c r="A50" s="13">
        <v>48</v>
      </c>
      <c r="B50" s="3" t="str">
        <f t="shared" si="0"/>
        <v>B48</v>
      </c>
      <c r="C50" s="13" t="s">
        <v>351</v>
      </c>
      <c r="D50" s="13" t="s">
        <v>589</v>
      </c>
      <c r="E50" s="13" t="s">
        <v>1626</v>
      </c>
      <c r="F50" s="13" t="s">
        <v>0</v>
      </c>
      <c r="G50" s="13" t="s">
        <v>13</v>
      </c>
      <c r="H50" s="13">
        <v>0</v>
      </c>
      <c r="I50" s="13">
        <v>1</v>
      </c>
      <c r="J50" s="13" t="s">
        <v>11</v>
      </c>
      <c r="K50" s="13"/>
      <c r="L50" s="18" t="s">
        <v>2246</v>
      </c>
    </row>
    <row r="51" spans="1:12" x14ac:dyDescent="0.15">
      <c r="A51" s="13">
        <v>49</v>
      </c>
      <c r="B51" s="3" t="str">
        <f t="shared" si="0"/>
        <v>B49</v>
      </c>
      <c r="C51" s="13" t="s">
        <v>353</v>
      </c>
      <c r="D51" s="13" t="s">
        <v>352</v>
      </c>
      <c r="E51" s="13" t="s">
        <v>1624</v>
      </c>
      <c r="F51" s="13" t="s">
        <v>0</v>
      </c>
      <c r="G51" s="13" t="s">
        <v>13</v>
      </c>
      <c r="H51" s="13">
        <v>0</v>
      </c>
      <c r="I51" s="13">
        <v>1</v>
      </c>
      <c r="J51" s="13" t="s">
        <v>11</v>
      </c>
      <c r="K51" s="13"/>
      <c r="L51" s="18" t="s">
        <v>2246</v>
      </c>
    </row>
    <row r="52" spans="1:12" ht="31.5" x14ac:dyDescent="0.15">
      <c r="A52" s="13">
        <v>50</v>
      </c>
      <c r="B52" s="3" t="str">
        <f t="shared" si="0"/>
        <v>B50</v>
      </c>
      <c r="C52" s="13" t="s">
        <v>354</v>
      </c>
      <c r="D52" s="13" t="s">
        <v>2213</v>
      </c>
      <c r="E52" s="13" t="s">
        <v>2173</v>
      </c>
      <c r="F52" s="13" t="s">
        <v>0</v>
      </c>
      <c r="G52" s="13" t="s">
        <v>13</v>
      </c>
      <c r="H52" s="13">
        <v>0</v>
      </c>
      <c r="I52" s="13">
        <v>1</v>
      </c>
      <c r="J52" s="13" t="s">
        <v>16</v>
      </c>
      <c r="K52" s="13"/>
      <c r="L52" s="18" t="s">
        <v>2246</v>
      </c>
    </row>
    <row r="53" spans="1:12" ht="21" x14ac:dyDescent="0.15">
      <c r="A53" s="13">
        <v>51</v>
      </c>
      <c r="B53" s="3" t="str">
        <f t="shared" si="0"/>
        <v>B51</v>
      </c>
      <c r="C53" s="13" t="s">
        <v>355</v>
      </c>
      <c r="D53" s="13" t="s">
        <v>590</v>
      </c>
      <c r="E53" s="13" t="s">
        <v>1627</v>
      </c>
      <c r="F53" s="13" t="s">
        <v>45</v>
      </c>
      <c r="G53" s="13" t="s">
        <v>13</v>
      </c>
      <c r="H53" s="13">
        <v>0</v>
      </c>
      <c r="I53" s="13">
        <v>1</v>
      </c>
      <c r="J53" s="13" t="s">
        <v>11</v>
      </c>
      <c r="K53" s="13"/>
      <c r="L53" s="18" t="s">
        <v>2246</v>
      </c>
    </row>
    <row r="54" spans="1:12" ht="21" x14ac:dyDescent="0.15">
      <c r="A54" s="13">
        <v>52</v>
      </c>
      <c r="B54" s="3" t="str">
        <f t="shared" si="0"/>
        <v>B52</v>
      </c>
      <c r="C54" s="13" t="s">
        <v>356</v>
      </c>
      <c r="D54" s="13" t="s">
        <v>591</v>
      </c>
      <c r="E54" s="13" t="s">
        <v>1628</v>
      </c>
      <c r="F54" s="13" t="s">
        <v>45</v>
      </c>
      <c r="G54" s="13" t="s">
        <v>13</v>
      </c>
      <c r="H54" s="13">
        <v>0</v>
      </c>
      <c r="I54" s="13">
        <v>1</v>
      </c>
      <c r="J54" s="13" t="s">
        <v>11</v>
      </c>
      <c r="K54" s="13"/>
      <c r="L54" s="18" t="s">
        <v>2246</v>
      </c>
    </row>
    <row r="55" spans="1:12" ht="21" x14ac:dyDescent="0.15">
      <c r="A55" s="13">
        <v>53</v>
      </c>
      <c r="B55" s="3" t="str">
        <f t="shared" si="0"/>
        <v>B53</v>
      </c>
      <c r="C55" s="13" t="s">
        <v>357</v>
      </c>
      <c r="D55" s="13" t="s">
        <v>592</v>
      </c>
      <c r="E55" s="13" t="s">
        <v>1629</v>
      </c>
      <c r="F55" s="13" t="s">
        <v>45</v>
      </c>
      <c r="G55" s="13" t="s">
        <v>13</v>
      </c>
      <c r="H55" s="13">
        <v>0</v>
      </c>
      <c r="I55" s="13">
        <v>1</v>
      </c>
      <c r="J55" s="13" t="s">
        <v>11</v>
      </c>
      <c r="K55" s="13"/>
      <c r="L55" s="18" t="s">
        <v>2246</v>
      </c>
    </row>
    <row r="56" spans="1:12" x14ac:dyDescent="0.15">
      <c r="A56" s="13">
        <v>54</v>
      </c>
      <c r="B56" s="3" t="str">
        <f t="shared" si="0"/>
        <v>B54</v>
      </c>
      <c r="C56" s="13" t="s">
        <v>358</v>
      </c>
      <c r="D56" s="13" t="s">
        <v>593</v>
      </c>
      <c r="E56" s="13" t="s">
        <v>1630</v>
      </c>
      <c r="F56" s="13" t="s">
        <v>45</v>
      </c>
      <c r="G56" s="13" t="s">
        <v>13</v>
      </c>
      <c r="H56" s="13">
        <v>0</v>
      </c>
      <c r="I56" s="13">
        <v>1</v>
      </c>
      <c r="J56" s="13" t="s">
        <v>11</v>
      </c>
      <c r="K56" s="13"/>
      <c r="L56" s="18" t="s">
        <v>2246</v>
      </c>
    </row>
    <row r="57" spans="1:12" x14ac:dyDescent="0.15">
      <c r="A57" s="13">
        <v>55</v>
      </c>
      <c r="B57" s="3" t="str">
        <f t="shared" si="0"/>
        <v>B55</v>
      </c>
      <c r="C57" s="13" t="s">
        <v>359</v>
      </c>
      <c r="D57" s="13" t="s">
        <v>594</v>
      </c>
      <c r="E57" s="13" t="s">
        <v>1631</v>
      </c>
      <c r="F57" s="13" t="s">
        <v>45</v>
      </c>
      <c r="G57" s="13" t="s">
        <v>13</v>
      </c>
      <c r="H57" s="13">
        <v>0</v>
      </c>
      <c r="I57" s="13">
        <v>1</v>
      </c>
      <c r="J57" s="13" t="s">
        <v>11</v>
      </c>
      <c r="K57" s="13"/>
      <c r="L57" s="18" t="s">
        <v>2246</v>
      </c>
    </row>
    <row r="58" spans="1:12" x14ac:dyDescent="0.15">
      <c r="A58" s="13">
        <v>56</v>
      </c>
      <c r="B58" s="3" t="str">
        <f t="shared" si="0"/>
        <v>B56</v>
      </c>
      <c r="C58" s="13" t="s">
        <v>360</v>
      </c>
      <c r="D58" s="13" t="s">
        <v>468</v>
      </c>
      <c r="E58" s="13" t="s">
        <v>1632</v>
      </c>
      <c r="F58" s="13" t="s">
        <v>45</v>
      </c>
      <c r="G58" s="13" t="s">
        <v>13</v>
      </c>
      <c r="H58" s="13">
        <v>0</v>
      </c>
      <c r="I58" s="13">
        <v>1</v>
      </c>
      <c r="J58" s="13" t="s">
        <v>11</v>
      </c>
      <c r="K58" s="13"/>
      <c r="L58" s="18" t="s">
        <v>2246</v>
      </c>
    </row>
    <row r="59" spans="1:12" x14ac:dyDescent="0.15">
      <c r="A59" s="13">
        <v>57</v>
      </c>
      <c r="B59" s="3" t="str">
        <f t="shared" si="0"/>
        <v>B57</v>
      </c>
      <c r="C59" s="13" t="s">
        <v>361</v>
      </c>
      <c r="D59" s="13" t="s">
        <v>595</v>
      </c>
      <c r="E59" s="13" t="s">
        <v>1633</v>
      </c>
      <c r="F59" s="13" t="s">
        <v>45</v>
      </c>
      <c r="G59" s="13" t="s">
        <v>13</v>
      </c>
      <c r="H59" s="13">
        <v>0</v>
      </c>
      <c r="I59" s="13">
        <v>1</v>
      </c>
      <c r="J59" s="13" t="s">
        <v>11</v>
      </c>
      <c r="K59" s="13"/>
      <c r="L59" s="18" t="s">
        <v>2246</v>
      </c>
    </row>
    <row r="60" spans="1:12" ht="21" x14ac:dyDescent="0.15">
      <c r="A60" s="13">
        <v>58</v>
      </c>
      <c r="B60" s="3" t="str">
        <f t="shared" si="0"/>
        <v>B58</v>
      </c>
      <c r="C60" s="13" t="s">
        <v>362</v>
      </c>
      <c r="D60" s="13" t="s">
        <v>596</v>
      </c>
      <c r="E60" s="13" t="s">
        <v>1634</v>
      </c>
      <c r="F60" s="13" t="s">
        <v>45</v>
      </c>
      <c r="G60" s="13" t="s">
        <v>13</v>
      </c>
      <c r="H60" s="13">
        <v>0</v>
      </c>
      <c r="I60" s="13">
        <v>1</v>
      </c>
      <c r="J60" s="13" t="s">
        <v>11</v>
      </c>
      <c r="K60" s="13"/>
      <c r="L60" s="18" t="s">
        <v>2246</v>
      </c>
    </row>
    <row r="61" spans="1:12" x14ac:dyDescent="0.15">
      <c r="A61" s="13">
        <v>59</v>
      </c>
      <c r="B61" s="3" t="str">
        <f t="shared" si="0"/>
        <v>B59</v>
      </c>
      <c r="C61" s="13" t="s">
        <v>363</v>
      </c>
      <c r="D61" s="13" t="s">
        <v>597</v>
      </c>
      <c r="E61" s="13" t="s">
        <v>1635</v>
      </c>
      <c r="F61" s="13" t="s">
        <v>45</v>
      </c>
      <c r="G61" s="13" t="s">
        <v>13</v>
      </c>
      <c r="H61" s="13">
        <v>0</v>
      </c>
      <c r="I61" s="13">
        <v>1</v>
      </c>
      <c r="J61" s="13" t="s">
        <v>11</v>
      </c>
      <c r="K61" s="13"/>
      <c r="L61" s="18" t="s">
        <v>2246</v>
      </c>
    </row>
    <row r="62" spans="1:12" ht="21" x14ac:dyDescent="0.15">
      <c r="A62" s="13">
        <v>60</v>
      </c>
      <c r="B62" s="3" t="str">
        <f t="shared" si="0"/>
        <v>B60</v>
      </c>
      <c r="C62" s="13" t="s">
        <v>364</v>
      </c>
      <c r="D62" s="13" t="s">
        <v>598</v>
      </c>
      <c r="E62" s="13" t="s">
        <v>1636</v>
      </c>
      <c r="F62" s="13" t="s">
        <v>45</v>
      </c>
      <c r="G62" s="13" t="s">
        <v>13</v>
      </c>
      <c r="H62" s="13">
        <v>0</v>
      </c>
      <c r="I62" s="13">
        <v>1</v>
      </c>
      <c r="J62" s="13" t="s">
        <v>11</v>
      </c>
      <c r="K62" s="13"/>
      <c r="L62" s="18" t="s">
        <v>2246</v>
      </c>
    </row>
    <row r="63" spans="1:12" x14ac:dyDescent="0.15">
      <c r="A63" s="13">
        <v>61</v>
      </c>
      <c r="B63" s="3" t="str">
        <f t="shared" si="0"/>
        <v>B61</v>
      </c>
      <c r="C63" s="13" t="s">
        <v>365</v>
      </c>
      <c r="D63" s="13" t="s">
        <v>599</v>
      </c>
      <c r="E63" s="13" t="s">
        <v>1637</v>
      </c>
      <c r="F63" s="13" t="s">
        <v>45</v>
      </c>
      <c r="G63" s="13" t="s">
        <v>13</v>
      </c>
      <c r="H63" s="13">
        <v>0</v>
      </c>
      <c r="I63" s="13">
        <v>1</v>
      </c>
      <c r="J63" s="13" t="s">
        <v>11</v>
      </c>
      <c r="K63" s="13"/>
      <c r="L63" s="18" t="s">
        <v>2246</v>
      </c>
    </row>
    <row r="64" spans="1:12" ht="21" x14ac:dyDescent="0.15">
      <c r="A64" s="13">
        <v>62</v>
      </c>
      <c r="B64" s="3" t="str">
        <f t="shared" si="0"/>
        <v>B62</v>
      </c>
      <c r="C64" s="13" t="s">
        <v>366</v>
      </c>
      <c r="D64" s="13" t="s">
        <v>600</v>
      </c>
      <c r="E64" s="13" t="s">
        <v>1638</v>
      </c>
      <c r="F64" s="13" t="s">
        <v>45</v>
      </c>
      <c r="G64" s="13" t="s">
        <v>13</v>
      </c>
      <c r="H64" s="13">
        <v>0</v>
      </c>
      <c r="I64" s="13">
        <v>1</v>
      </c>
      <c r="J64" s="13" t="s">
        <v>11</v>
      </c>
      <c r="K64" s="13"/>
      <c r="L64" s="18" t="s">
        <v>2246</v>
      </c>
    </row>
    <row r="65" spans="1:12" ht="21" x14ac:dyDescent="0.15">
      <c r="A65" s="13">
        <v>65</v>
      </c>
      <c r="B65" s="3" t="str">
        <f t="shared" si="0"/>
        <v>B65</v>
      </c>
      <c r="C65" s="13" t="s">
        <v>367</v>
      </c>
      <c r="D65" s="13" t="s">
        <v>601</v>
      </c>
      <c r="E65" s="13" t="s">
        <v>1639</v>
      </c>
      <c r="F65" s="13" t="s">
        <v>45</v>
      </c>
      <c r="G65" s="13" t="s">
        <v>13</v>
      </c>
      <c r="H65" s="13">
        <v>0</v>
      </c>
      <c r="I65" s="13">
        <v>1</v>
      </c>
      <c r="J65" s="13" t="s">
        <v>11</v>
      </c>
      <c r="K65" s="13"/>
      <c r="L65" s="18" t="s">
        <v>2246</v>
      </c>
    </row>
    <row r="66" spans="1:12" ht="21" x14ac:dyDescent="0.15">
      <c r="A66" s="13">
        <v>66</v>
      </c>
      <c r="B66" s="3" t="str">
        <f t="shared" ref="B66:B123" si="1">"B"&amp;A66</f>
        <v>B66</v>
      </c>
      <c r="C66" s="13" t="s">
        <v>367</v>
      </c>
      <c r="D66" s="13" t="s">
        <v>602</v>
      </c>
      <c r="E66" s="13" t="s">
        <v>1640</v>
      </c>
      <c r="F66" s="13" t="s">
        <v>45</v>
      </c>
      <c r="G66" s="13" t="s">
        <v>13</v>
      </c>
      <c r="H66" s="13">
        <v>0</v>
      </c>
      <c r="I66" s="13">
        <v>1</v>
      </c>
      <c r="J66" s="13" t="s">
        <v>11</v>
      </c>
      <c r="K66" s="13"/>
      <c r="L66" s="18" t="s">
        <v>2246</v>
      </c>
    </row>
    <row r="67" spans="1:12" ht="21" x14ac:dyDescent="0.15">
      <c r="A67" s="13">
        <v>67</v>
      </c>
      <c r="B67" s="3" t="str">
        <f t="shared" si="1"/>
        <v>B67</v>
      </c>
      <c r="C67" s="13" t="s">
        <v>367</v>
      </c>
      <c r="D67" s="13" t="s">
        <v>603</v>
      </c>
      <c r="E67" s="13" t="s">
        <v>1641</v>
      </c>
      <c r="F67" s="13" t="s">
        <v>45</v>
      </c>
      <c r="G67" s="13" t="s">
        <v>13</v>
      </c>
      <c r="H67" s="13">
        <v>0</v>
      </c>
      <c r="I67" s="13">
        <v>1</v>
      </c>
      <c r="J67" s="13" t="s">
        <v>11</v>
      </c>
      <c r="K67" s="13"/>
      <c r="L67" s="18" t="s">
        <v>2246</v>
      </c>
    </row>
    <row r="68" spans="1:12" ht="21" x14ac:dyDescent="0.15">
      <c r="A68" s="13">
        <v>68</v>
      </c>
      <c r="B68" s="3" t="str">
        <f t="shared" si="1"/>
        <v>B68</v>
      </c>
      <c r="C68" s="13" t="s">
        <v>367</v>
      </c>
      <c r="D68" s="13" t="s">
        <v>604</v>
      </c>
      <c r="E68" s="13" t="s">
        <v>1642</v>
      </c>
      <c r="F68" s="13" t="s">
        <v>45</v>
      </c>
      <c r="G68" s="13" t="s">
        <v>13</v>
      </c>
      <c r="H68" s="13">
        <v>0</v>
      </c>
      <c r="I68" s="13">
        <v>1</v>
      </c>
      <c r="J68" s="13" t="s">
        <v>11</v>
      </c>
      <c r="K68" s="13"/>
      <c r="L68" s="18" t="s">
        <v>2246</v>
      </c>
    </row>
    <row r="69" spans="1:12" ht="21" x14ac:dyDescent="0.15">
      <c r="A69" s="13">
        <v>69</v>
      </c>
      <c r="B69" s="3" t="str">
        <f t="shared" si="1"/>
        <v>B69</v>
      </c>
      <c r="C69" s="13" t="s">
        <v>367</v>
      </c>
      <c r="D69" s="13" t="s">
        <v>605</v>
      </c>
      <c r="E69" s="13" t="s">
        <v>1643</v>
      </c>
      <c r="F69" s="13" t="s">
        <v>45</v>
      </c>
      <c r="G69" s="13" t="s">
        <v>13</v>
      </c>
      <c r="H69" s="13">
        <v>0</v>
      </c>
      <c r="I69" s="13">
        <v>1</v>
      </c>
      <c r="J69" s="13" t="s">
        <v>11</v>
      </c>
      <c r="K69" s="13"/>
      <c r="L69" s="18" t="s">
        <v>2246</v>
      </c>
    </row>
    <row r="70" spans="1:12" ht="21" x14ac:dyDescent="0.15">
      <c r="A70" s="13">
        <v>70</v>
      </c>
      <c r="B70" s="3" t="str">
        <f t="shared" si="1"/>
        <v>B70</v>
      </c>
      <c r="C70" s="13" t="s">
        <v>367</v>
      </c>
      <c r="D70" s="13" t="s">
        <v>606</v>
      </c>
      <c r="E70" s="13" t="s">
        <v>1644</v>
      </c>
      <c r="F70" s="13" t="s">
        <v>45</v>
      </c>
      <c r="G70" s="13" t="s">
        <v>13</v>
      </c>
      <c r="H70" s="13">
        <v>0</v>
      </c>
      <c r="I70" s="13">
        <v>1</v>
      </c>
      <c r="J70" s="13" t="s">
        <v>11</v>
      </c>
      <c r="K70" s="13"/>
      <c r="L70" s="18" t="s">
        <v>2246</v>
      </c>
    </row>
    <row r="71" spans="1:12" ht="21" x14ac:dyDescent="0.15">
      <c r="A71" s="13">
        <v>71</v>
      </c>
      <c r="B71" s="3" t="str">
        <f t="shared" si="1"/>
        <v>B71</v>
      </c>
      <c r="C71" s="13" t="s">
        <v>367</v>
      </c>
      <c r="D71" s="13" t="s">
        <v>605</v>
      </c>
      <c r="E71" s="13" t="s">
        <v>1643</v>
      </c>
      <c r="F71" s="13" t="s">
        <v>45</v>
      </c>
      <c r="G71" s="13" t="s">
        <v>13</v>
      </c>
      <c r="H71" s="13">
        <v>0</v>
      </c>
      <c r="I71" s="13">
        <v>1</v>
      </c>
      <c r="J71" s="13" t="s">
        <v>11</v>
      </c>
      <c r="K71" s="13"/>
      <c r="L71" s="18" t="s">
        <v>2246</v>
      </c>
    </row>
    <row r="72" spans="1:12" x14ac:dyDescent="0.15">
      <c r="A72" s="13">
        <v>72</v>
      </c>
      <c r="B72" s="3" t="str">
        <f t="shared" si="1"/>
        <v>B72</v>
      </c>
      <c r="C72" s="13" t="s">
        <v>368</v>
      </c>
      <c r="D72" s="13" t="s">
        <v>469</v>
      </c>
      <c r="E72" s="13" t="s">
        <v>1645</v>
      </c>
      <c r="F72" s="13" t="s">
        <v>0</v>
      </c>
      <c r="G72" s="13" t="s">
        <v>13</v>
      </c>
      <c r="H72" s="13">
        <v>0</v>
      </c>
      <c r="I72" s="13">
        <v>1</v>
      </c>
      <c r="J72" s="13" t="s">
        <v>11</v>
      </c>
      <c r="K72" s="13"/>
      <c r="L72" s="18" t="s">
        <v>2246</v>
      </c>
    </row>
    <row r="73" spans="1:12" x14ac:dyDescent="0.15">
      <c r="A73" s="13">
        <v>73</v>
      </c>
      <c r="B73" s="3" t="str">
        <f t="shared" si="1"/>
        <v>B73</v>
      </c>
      <c r="C73" s="13" t="s">
        <v>369</v>
      </c>
      <c r="D73" s="13" t="s">
        <v>470</v>
      </c>
      <c r="E73" s="13" t="s">
        <v>1646</v>
      </c>
      <c r="F73" s="13" t="s">
        <v>0</v>
      </c>
      <c r="G73" s="13" t="s">
        <v>13</v>
      </c>
      <c r="H73" s="13">
        <v>0</v>
      </c>
      <c r="I73" s="13">
        <v>1</v>
      </c>
      <c r="J73" s="13" t="s">
        <v>11</v>
      </c>
      <c r="K73" s="13"/>
      <c r="L73" s="18" t="s">
        <v>2246</v>
      </c>
    </row>
    <row r="74" spans="1:12" x14ac:dyDescent="0.15">
      <c r="A74" s="13">
        <v>74</v>
      </c>
      <c r="B74" s="3" t="str">
        <f t="shared" si="1"/>
        <v>B74</v>
      </c>
      <c r="C74" s="13" t="s">
        <v>370</v>
      </c>
      <c r="D74" s="13" t="s">
        <v>471</v>
      </c>
      <c r="E74" s="13" t="s">
        <v>1647</v>
      </c>
      <c r="F74" s="13" t="s">
        <v>0</v>
      </c>
      <c r="G74" s="13" t="s">
        <v>13</v>
      </c>
      <c r="H74" s="13">
        <v>0</v>
      </c>
      <c r="I74" s="13">
        <v>1</v>
      </c>
      <c r="J74" s="13" t="s">
        <v>11</v>
      </c>
      <c r="K74" s="13"/>
      <c r="L74" s="18" t="s">
        <v>2246</v>
      </c>
    </row>
    <row r="75" spans="1:12" ht="21" x14ac:dyDescent="0.15">
      <c r="A75" s="13">
        <v>75</v>
      </c>
      <c r="B75" s="3" t="str">
        <f t="shared" si="1"/>
        <v>B75</v>
      </c>
      <c r="C75" s="13" t="s">
        <v>371</v>
      </c>
      <c r="D75" s="13" t="s">
        <v>472</v>
      </c>
      <c r="E75" s="13" t="s">
        <v>1648</v>
      </c>
      <c r="F75" s="13" t="s">
        <v>0</v>
      </c>
      <c r="G75" s="13" t="s">
        <v>13</v>
      </c>
      <c r="H75" s="13">
        <v>0</v>
      </c>
      <c r="I75" s="13">
        <v>1</v>
      </c>
      <c r="J75" s="13" t="s">
        <v>11</v>
      </c>
      <c r="K75" s="13"/>
      <c r="L75" s="18" t="s">
        <v>2246</v>
      </c>
    </row>
    <row r="76" spans="1:12" x14ac:dyDescent="0.15">
      <c r="A76" s="13">
        <v>76</v>
      </c>
      <c r="B76" s="3" t="str">
        <f t="shared" si="1"/>
        <v>B76</v>
      </c>
      <c r="C76" s="13" t="s">
        <v>372</v>
      </c>
      <c r="D76" s="13" t="s">
        <v>473</v>
      </c>
      <c r="E76" s="13" t="s">
        <v>1649</v>
      </c>
      <c r="F76" s="13" t="s">
        <v>0</v>
      </c>
      <c r="G76" s="13" t="s">
        <v>13</v>
      </c>
      <c r="H76" s="13">
        <v>0</v>
      </c>
      <c r="I76" s="13">
        <v>1</v>
      </c>
      <c r="J76" s="13" t="s">
        <v>11</v>
      </c>
      <c r="K76" s="13"/>
      <c r="L76" s="18" t="s">
        <v>2246</v>
      </c>
    </row>
    <row r="77" spans="1:12" x14ac:dyDescent="0.15">
      <c r="A77" s="13">
        <v>77</v>
      </c>
      <c r="B77" s="3" t="str">
        <f t="shared" si="1"/>
        <v>B77</v>
      </c>
      <c r="C77" s="13" t="s">
        <v>373</v>
      </c>
      <c r="D77" s="13" t="s">
        <v>474</v>
      </c>
      <c r="E77" s="13" t="s">
        <v>1650</v>
      </c>
      <c r="F77" s="13" t="s">
        <v>0</v>
      </c>
      <c r="G77" s="13" t="s">
        <v>13</v>
      </c>
      <c r="H77" s="13">
        <v>0</v>
      </c>
      <c r="I77" s="13">
        <v>1</v>
      </c>
      <c r="J77" s="13" t="s">
        <v>11</v>
      </c>
      <c r="K77" s="13"/>
      <c r="L77" s="18" t="s">
        <v>2246</v>
      </c>
    </row>
    <row r="78" spans="1:12" x14ac:dyDescent="0.15">
      <c r="A78" s="13">
        <v>78</v>
      </c>
      <c r="B78" s="3" t="str">
        <f t="shared" si="1"/>
        <v>B78</v>
      </c>
      <c r="C78" s="13" t="s">
        <v>374</v>
      </c>
      <c r="D78" s="13" t="s">
        <v>475</v>
      </c>
      <c r="E78" s="13" t="s">
        <v>1651</v>
      </c>
      <c r="F78" s="13" t="s">
        <v>0</v>
      </c>
      <c r="G78" s="13" t="s">
        <v>13</v>
      </c>
      <c r="H78" s="13">
        <v>0</v>
      </c>
      <c r="I78" s="13">
        <v>1</v>
      </c>
      <c r="J78" s="13" t="s">
        <v>11</v>
      </c>
      <c r="K78" s="13"/>
      <c r="L78" s="18" t="s">
        <v>2246</v>
      </c>
    </row>
    <row r="79" spans="1:12" ht="21" x14ac:dyDescent="0.15">
      <c r="A79" s="13">
        <v>79</v>
      </c>
      <c r="B79" s="3" t="str">
        <f t="shared" si="1"/>
        <v>B79</v>
      </c>
      <c r="C79" s="13" t="s">
        <v>375</v>
      </c>
      <c r="D79" s="13" t="s">
        <v>476</v>
      </c>
      <c r="E79" s="13" t="s">
        <v>1652</v>
      </c>
      <c r="F79" s="13" t="s">
        <v>0</v>
      </c>
      <c r="G79" s="13" t="s">
        <v>13</v>
      </c>
      <c r="H79" s="13">
        <v>0</v>
      </c>
      <c r="I79" s="13">
        <v>1</v>
      </c>
      <c r="J79" s="13" t="s">
        <v>11</v>
      </c>
      <c r="K79" s="13"/>
      <c r="L79" s="18" t="s">
        <v>2246</v>
      </c>
    </row>
    <row r="80" spans="1:12" x14ac:dyDescent="0.15">
      <c r="A80" s="13">
        <v>80</v>
      </c>
      <c r="B80" s="3" t="str">
        <f t="shared" si="1"/>
        <v>B80</v>
      </c>
      <c r="C80" s="13" t="s">
        <v>376</v>
      </c>
      <c r="D80" s="13" t="s">
        <v>477</v>
      </c>
      <c r="E80" s="13" t="s">
        <v>1070</v>
      </c>
      <c r="F80" s="13" t="s">
        <v>46</v>
      </c>
      <c r="G80" s="13" t="s">
        <v>13</v>
      </c>
      <c r="H80" s="13">
        <v>0</v>
      </c>
      <c r="I80" s="13">
        <v>1</v>
      </c>
      <c r="J80" s="13" t="s">
        <v>11</v>
      </c>
      <c r="K80" s="13"/>
      <c r="L80" s="18" t="s">
        <v>2246</v>
      </c>
    </row>
    <row r="81" spans="1:12" x14ac:dyDescent="0.15">
      <c r="A81" s="13">
        <v>81</v>
      </c>
      <c r="B81" s="3" t="str">
        <f t="shared" si="1"/>
        <v>B81</v>
      </c>
      <c r="C81" s="13" t="s">
        <v>377</v>
      </c>
      <c r="D81" s="13" t="s">
        <v>384</v>
      </c>
      <c r="E81" s="13" t="s">
        <v>1071</v>
      </c>
      <c r="F81" s="13" t="s">
        <v>46</v>
      </c>
      <c r="G81" s="13" t="s">
        <v>13</v>
      </c>
      <c r="H81" s="13">
        <v>0</v>
      </c>
      <c r="I81" s="13">
        <v>1</v>
      </c>
      <c r="J81" s="13" t="s">
        <v>11</v>
      </c>
      <c r="K81" s="13"/>
      <c r="L81" s="18" t="s">
        <v>2246</v>
      </c>
    </row>
    <row r="82" spans="1:12" x14ac:dyDescent="0.15">
      <c r="A82" s="13">
        <v>82</v>
      </c>
      <c r="B82" s="3" t="str">
        <f t="shared" si="1"/>
        <v>B82</v>
      </c>
      <c r="C82" s="13" t="s">
        <v>378</v>
      </c>
      <c r="D82" s="13" t="s">
        <v>478</v>
      </c>
      <c r="E82" s="13" t="s">
        <v>1653</v>
      </c>
      <c r="F82" s="13" t="s">
        <v>0</v>
      </c>
      <c r="G82" s="13" t="s">
        <v>13</v>
      </c>
      <c r="H82" s="13">
        <v>0</v>
      </c>
      <c r="I82" s="13">
        <v>1</v>
      </c>
      <c r="J82" s="13" t="s">
        <v>16</v>
      </c>
      <c r="K82" s="13"/>
      <c r="L82" s="18" t="s">
        <v>2246</v>
      </c>
    </row>
    <row r="83" spans="1:12" x14ac:dyDescent="0.15">
      <c r="A83" s="13">
        <v>83</v>
      </c>
      <c r="B83" s="3" t="str">
        <f t="shared" si="1"/>
        <v>B83</v>
      </c>
      <c r="C83" s="13" t="s">
        <v>379</v>
      </c>
      <c r="D83" s="13" t="s">
        <v>607</v>
      </c>
      <c r="E83" s="13" t="s">
        <v>1654</v>
      </c>
      <c r="F83" s="13" t="s">
        <v>0</v>
      </c>
      <c r="G83" s="13" t="s">
        <v>13</v>
      </c>
      <c r="H83" s="13">
        <v>0</v>
      </c>
      <c r="I83" s="13">
        <v>1</v>
      </c>
      <c r="J83" s="13" t="s">
        <v>11</v>
      </c>
      <c r="K83" s="13"/>
      <c r="L83" s="18" t="s">
        <v>2246</v>
      </c>
    </row>
    <row r="84" spans="1:12" ht="21" x14ac:dyDescent="0.15">
      <c r="A84" s="13">
        <v>84</v>
      </c>
      <c r="B84" s="3" t="str">
        <f t="shared" si="1"/>
        <v>B84</v>
      </c>
      <c r="C84" s="13" t="s">
        <v>1072</v>
      </c>
      <c r="D84" s="13" t="s">
        <v>1778</v>
      </c>
      <c r="E84" s="13" t="s">
        <v>1073</v>
      </c>
      <c r="F84" s="13" t="s">
        <v>0</v>
      </c>
      <c r="G84" s="13" t="s">
        <v>13</v>
      </c>
      <c r="H84" s="13">
        <v>0</v>
      </c>
      <c r="I84" s="13">
        <v>1</v>
      </c>
      <c r="J84" s="13" t="s">
        <v>11</v>
      </c>
      <c r="K84" s="13"/>
      <c r="L84" s="18" t="s">
        <v>2246</v>
      </c>
    </row>
    <row r="85" spans="1:12" ht="21" x14ac:dyDescent="0.15">
      <c r="A85" s="13">
        <v>85</v>
      </c>
      <c r="B85" s="3" t="str">
        <f t="shared" si="1"/>
        <v>B85</v>
      </c>
      <c r="C85" s="13" t="s">
        <v>1074</v>
      </c>
      <c r="D85" s="13" t="s">
        <v>1789</v>
      </c>
      <c r="E85" s="13" t="s">
        <v>1075</v>
      </c>
      <c r="F85" s="13" t="s">
        <v>0</v>
      </c>
      <c r="G85" s="13" t="s">
        <v>13</v>
      </c>
      <c r="H85" s="13">
        <v>0</v>
      </c>
      <c r="I85" s="13">
        <v>1</v>
      </c>
      <c r="J85" s="13" t="s">
        <v>11</v>
      </c>
      <c r="K85" s="13"/>
      <c r="L85" s="18" t="s">
        <v>2246</v>
      </c>
    </row>
    <row r="86" spans="1:12" ht="21" x14ac:dyDescent="0.15">
      <c r="A86" s="13">
        <v>86</v>
      </c>
      <c r="B86" s="3" t="str">
        <f t="shared" si="1"/>
        <v>B86</v>
      </c>
      <c r="C86" s="13" t="s">
        <v>1076</v>
      </c>
      <c r="D86" s="13" t="s">
        <v>1788</v>
      </c>
      <c r="E86" s="13" t="s">
        <v>1077</v>
      </c>
      <c r="F86" s="13" t="s">
        <v>0</v>
      </c>
      <c r="G86" s="13" t="s">
        <v>13</v>
      </c>
      <c r="H86" s="13">
        <v>0</v>
      </c>
      <c r="I86" s="13">
        <v>1</v>
      </c>
      <c r="J86" s="13" t="s">
        <v>11</v>
      </c>
      <c r="K86" s="13"/>
      <c r="L86" s="18" t="s">
        <v>2246</v>
      </c>
    </row>
    <row r="87" spans="1:12" ht="21" x14ac:dyDescent="0.15">
      <c r="A87" s="13">
        <v>87</v>
      </c>
      <c r="B87" s="3" t="str">
        <f t="shared" si="1"/>
        <v>B87</v>
      </c>
      <c r="C87" s="13" t="s">
        <v>380</v>
      </c>
      <c r="D87" s="13" t="s">
        <v>2212</v>
      </c>
      <c r="E87" s="13" t="s">
        <v>2172</v>
      </c>
      <c r="F87" s="13" t="s">
        <v>45</v>
      </c>
      <c r="G87" s="13" t="s">
        <v>13</v>
      </c>
      <c r="H87" s="13">
        <v>0</v>
      </c>
      <c r="I87" s="13">
        <v>1</v>
      </c>
      <c r="J87" s="13" t="s">
        <v>11</v>
      </c>
      <c r="K87" s="13"/>
      <c r="L87" s="18" t="s">
        <v>2246</v>
      </c>
    </row>
    <row r="88" spans="1:12" x14ac:dyDescent="0.15">
      <c r="A88" s="13">
        <v>88</v>
      </c>
      <c r="B88" s="3" t="str">
        <f t="shared" si="1"/>
        <v>B88</v>
      </c>
      <c r="C88" s="13" t="s">
        <v>381</v>
      </c>
      <c r="D88" s="13" t="s">
        <v>1790</v>
      </c>
      <c r="E88" s="13" t="s">
        <v>1656</v>
      </c>
      <c r="F88" s="13" t="s">
        <v>45</v>
      </c>
      <c r="G88" s="13" t="s">
        <v>13</v>
      </c>
      <c r="H88" s="13">
        <v>0</v>
      </c>
      <c r="I88" s="13">
        <v>1</v>
      </c>
      <c r="J88" s="13" t="s">
        <v>11</v>
      </c>
      <c r="K88" s="13"/>
      <c r="L88" s="18" t="s">
        <v>2246</v>
      </c>
    </row>
    <row r="89" spans="1:12" x14ac:dyDescent="0.15">
      <c r="A89" s="13">
        <v>89</v>
      </c>
      <c r="B89" s="3" t="str">
        <f t="shared" si="1"/>
        <v>B89</v>
      </c>
      <c r="C89" s="13" t="s">
        <v>382</v>
      </c>
      <c r="D89" s="13" t="s">
        <v>1791</v>
      </c>
      <c r="E89" s="13" t="s">
        <v>1657</v>
      </c>
      <c r="F89" s="13" t="s">
        <v>45</v>
      </c>
      <c r="G89" s="13" t="s">
        <v>13</v>
      </c>
      <c r="H89" s="13">
        <v>0</v>
      </c>
      <c r="I89" s="13">
        <v>1</v>
      </c>
      <c r="J89" s="13" t="s">
        <v>11</v>
      </c>
      <c r="K89" s="13"/>
      <c r="L89" s="18" t="s">
        <v>2246</v>
      </c>
    </row>
    <row r="90" spans="1:12" x14ac:dyDescent="0.15">
      <c r="A90" s="13">
        <v>91</v>
      </c>
      <c r="B90" s="3" t="str">
        <f t="shared" si="1"/>
        <v>B91</v>
      </c>
      <c r="C90" s="13" t="s">
        <v>383</v>
      </c>
      <c r="D90" s="13" t="s">
        <v>477</v>
      </c>
      <c r="E90" s="13" t="s">
        <v>1658</v>
      </c>
      <c r="F90" s="13" t="s">
        <v>0</v>
      </c>
      <c r="G90" s="13" t="s">
        <v>13</v>
      </c>
      <c r="H90" s="13">
        <v>0</v>
      </c>
      <c r="I90" s="13">
        <v>1</v>
      </c>
      <c r="J90" s="13" t="s">
        <v>11</v>
      </c>
      <c r="K90" s="13"/>
      <c r="L90" s="18" t="s">
        <v>2246</v>
      </c>
    </row>
    <row r="91" spans="1:12" x14ac:dyDescent="0.15">
      <c r="A91" s="13">
        <v>92</v>
      </c>
      <c r="B91" s="3" t="str">
        <f t="shared" si="1"/>
        <v>B92</v>
      </c>
      <c r="C91" s="13" t="s">
        <v>385</v>
      </c>
      <c r="D91" s="13" t="s">
        <v>384</v>
      </c>
      <c r="E91" s="13" t="s">
        <v>1659</v>
      </c>
      <c r="F91" s="13" t="s">
        <v>0</v>
      </c>
      <c r="G91" s="13" t="s">
        <v>13</v>
      </c>
      <c r="H91" s="13">
        <v>0</v>
      </c>
      <c r="I91" s="13">
        <v>1</v>
      </c>
      <c r="J91" s="13" t="s">
        <v>11</v>
      </c>
      <c r="K91" s="13"/>
      <c r="L91" s="18" t="s">
        <v>2246</v>
      </c>
    </row>
    <row r="92" spans="1:12" ht="21" x14ac:dyDescent="0.15">
      <c r="A92" s="13">
        <v>93</v>
      </c>
      <c r="B92" s="3" t="str">
        <f t="shared" si="1"/>
        <v>B93</v>
      </c>
      <c r="C92" s="13" t="s">
        <v>386</v>
      </c>
      <c r="D92" s="13" t="s">
        <v>608</v>
      </c>
      <c r="E92" s="13" t="s">
        <v>1078</v>
      </c>
      <c r="F92" s="13" t="s">
        <v>0</v>
      </c>
      <c r="G92" s="13" t="s">
        <v>13</v>
      </c>
      <c r="H92" s="13">
        <v>0</v>
      </c>
      <c r="I92" s="13">
        <v>1</v>
      </c>
      <c r="J92" s="13" t="s">
        <v>16</v>
      </c>
      <c r="K92" s="13"/>
      <c r="L92" s="18" t="s">
        <v>2246</v>
      </c>
    </row>
    <row r="93" spans="1:12" ht="21" x14ac:dyDescent="0.15">
      <c r="A93" s="13">
        <v>94</v>
      </c>
      <c r="B93" s="3" t="str">
        <f t="shared" si="1"/>
        <v>B94</v>
      </c>
      <c r="C93" s="13" t="s">
        <v>387</v>
      </c>
      <c r="D93" s="13" t="s">
        <v>609</v>
      </c>
      <c r="E93" s="13" t="s">
        <v>1079</v>
      </c>
      <c r="F93" s="13" t="s">
        <v>0</v>
      </c>
      <c r="G93" s="13" t="s">
        <v>13</v>
      </c>
      <c r="H93" s="13">
        <v>0</v>
      </c>
      <c r="I93" s="13">
        <v>1</v>
      </c>
      <c r="J93" s="13" t="s">
        <v>16</v>
      </c>
      <c r="K93" s="13"/>
      <c r="L93" s="18" t="s">
        <v>2246</v>
      </c>
    </row>
    <row r="94" spans="1:12" x14ac:dyDescent="0.15">
      <c r="A94" s="13">
        <v>96</v>
      </c>
      <c r="B94" s="3" t="str">
        <f t="shared" si="1"/>
        <v>B96</v>
      </c>
      <c r="C94" s="13" t="s">
        <v>388</v>
      </c>
      <c r="D94" s="13" t="s">
        <v>610</v>
      </c>
      <c r="E94" s="13" t="s">
        <v>1664</v>
      </c>
      <c r="F94" s="13" t="s">
        <v>45</v>
      </c>
      <c r="G94" s="13" t="s">
        <v>13</v>
      </c>
      <c r="H94" s="13">
        <v>0</v>
      </c>
      <c r="I94" s="13">
        <v>1</v>
      </c>
      <c r="J94" s="13" t="s">
        <v>11</v>
      </c>
      <c r="K94" s="13"/>
      <c r="L94" s="18" t="s">
        <v>2246</v>
      </c>
    </row>
    <row r="95" spans="1:12" ht="21" x14ac:dyDescent="0.15">
      <c r="A95" s="13">
        <v>97</v>
      </c>
      <c r="B95" s="3" t="str">
        <f t="shared" si="1"/>
        <v>B97</v>
      </c>
      <c r="C95" s="13" t="s">
        <v>389</v>
      </c>
      <c r="D95" s="13" t="s">
        <v>2159</v>
      </c>
      <c r="E95" s="13" t="s">
        <v>2153</v>
      </c>
      <c r="F95" s="13" t="s">
        <v>45</v>
      </c>
      <c r="G95" s="13" t="s">
        <v>13</v>
      </c>
      <c r="H95" s="13">
        <v>0</v>
      </c>
      <c r="I95" s="13">
        <v>1</v>
      </c>
      <c r="J95" s="13" t="s">
        <v>11</v>
      </c>
      <c r="K95" s="13"/>
      <c r="L95" s="18" t="s">
        <v>2246</v>
      </c>
    </row>
    <row r="96" spans="1:12" ht="31.5" x14ac:dyDescent="0.15">
      <c r="A96" s="13">
        <v>98</v>
      </c>
      <c r="B96" s="3" t="str">
        <f t="shared" si="1"/>
        <v>B98</v>
      </c>
      <c r="C96" s="13" t="s">
        <v>390</v>
      </c>
      <c r="D96" s="13" t="s">
        <v>2158</v>
      </c>
      <c r="E96" s="13" t="s">
        <v>2152</v>
      </c>
      <c r="F96" s="13" t="s">
        <v>45</v>
      </c>
      <c r="G96" s="13" t="s">
        <v>13</v>
      </c>
      <c r="H96" s="13">
        <v>0</v>
      </c>
      <c r="I96" s="13">
        <v>1</v>
      </c>
      <c r="J96" s="13" t="s">
        <v>11</v>
      </c>
      <c r="K96" s="13"/>
      <c r="L96" s="18" t="s">
        <v>2246</v>
      </c>
    </row>
    <row r="97" spans="1:12" ht="21" x14ac:dyDescent="0.15">
      <c r="A97" s="13">
        <v>99</v>
      </c>
      <c r="B97" s="3" t="str">
        <f t="shared" si="1"/>
        <v>B99</v>
      </c>
      <c r="C97" s="13" t="s">
        <v>391</v>
      </c>
      <c r="D97" s="13" t="s">
        <v>2157</v>
      </c>
      <c r="E97" s="13" t="s">
        <v>2151</v>
      </c>
      <c r="F97" s="13" t="s">
        <v>45</v>
      </c>
      <c r="G97" s="13" t="s">
        <v>13</v>
      </c>
      <c r="H97" s="13">
        <v>0</v>
      </c>
      <c r="I97" s="13">
        <v>1</v>
      </c>
      <c r="J97" s="13" t="s">
        <v>11</v>
      </c>
      <c r="K97" s="13"/>
      <c r="L97" s="18" t="s">
        <v>2246</v>
      </c>
    </row>
    <row r="98" spans="1:12" ht="31.5" x14ac:dyDescent="0.15">
      <c r="A98" s="13">
        <v>100</v>
      </c>
      <c r="B98" s="3" t="str">
        <f t="shared" si="1"/>
        <v>B100</v>
      </c>
      <c r="C98" s="13" t="s">
        <v>392</v>
      </c>
      <c r="D98" s="13" t="s">
        <v>2160</v>
      </c>
      <c r="E98" s="13" t="s">
        <v>2169</v>
      </c>
      <c r="F98" s="13" t="s">
        <v>45</v>
      </c>
      <c r="G98" s="13" t="s">
        <v>13</v>
      </c>
      <c r="H98" s="13">
        <v>0</v>
      </c>
      <c r="I98" s="13">
        <v>1</v>
      </c>
      <c r="J98" s="13" t="s">
        <v>11</v>
      </c>
      <c r="K98" s="13"/>
      <c r="L98" s="18" t="s">
        <v>2246</v>
      </c>
    </row>
    <row r="99" spans="1:12" ht="21" x14ac:dyDescent="0.15">
      <c r="A99" s="13">
        <v>104</v>
      </c>
      <c r="B99" s="3" t="str">
        <f t="shared" si="1"/>
        <v>B104</v>
      </c>
      <c r="C99" s="13" t="s">
        <v>393</v>
      </c>
      <c r="D99" s="13" t="s">
        <v>2170</v>
      </c>
      <c r="E99" s="13" t="s">
        <v>2171</v>
      </c>
      <c r="F99" s="13" t="s">
        <v>0</v>
      </c>
      <c r="G99" s="13" t="s">
        <v>13</v>
      </c>
      <c r="H99" s="13">
        <v>0</v>
      </c>
      <c r="I99" s="13">
        <v>1</v>
      </c>
      <c r="J99" s="13" t="s">
        <v>16</v>
      </c>
      <c r="K99" s="13"/>
      <c r="L99" s="18" t="s">
        <v>2246</v>
      </c>
    </row>
    <row r="100" spans="1:12" ht="31.5" x14ac:dyDescent="0.15">
      <c r="A100" s="13">
        <v>105</v>
      </c>
      <c r="B100" s="3" t="str">
        <f t="shared" si="1"/>
        <v>B105</v>
      </c>
      <c r="C100" s="13" t="s">
        <v>394</v>
      </c>
      <c r="D100" s="13" t="s">
        <v>2167</v>
      </c>
      <c r="E100" s="13" t="s">
        <v>2168</v>
      </c>
      <c r="F100" s="13" t="s">
        <v>45</v>
      </c>
      <c r="G100" s="13" t="s">
        <v>13</v>
      </c>
      <c r="H100" s="13">
        <v>0</v>
      </c>
      <c r="I100" s="13">
        <v>1</v>
      </c>
      <c r="J100" s="13" t="s">
        <v>11</v>
      </c>
      <c r="K100" s="13"/>
      <c r="L100" s="18" t="s">
        <v>2246</v>
      </c>
    </row>
    <row r="101" spans="1:12" ht="73.5" x14ac:dyDescent="0.15">
      <c r="A101" s="13">
        <v>106</v>
      </c>
      <c r="B101" s="3" t="str">
        <f t="shared" si="1"/>
        <v>B106</v>
      </c>
      <c r="C101" s="13" t="s">
        <v>395</v>
      </c>
      <c r="D101" s="13" t="s">
        <v>2165</v>
      </c>
      <c r="E101" s="13" t="s">
        <v>2166</v>
      </c>
      <c r="F101" s="13" t="s">
        <v>0</v>
      </c>
      <c r="G101" s="13" t="s">
        <v>13</v>
      </c>
      <c r="H101" s="13">
        <v>0</v>
      </c>
      <c r="I101" s="13">
        <v>1</v>
      </c>
      <c r="J101" s="13" t="s">
        <v>16</v>
      </c>
      <c r="K101" s="13"/>
      <c r="L101" s="18" t="s">
        <v>2246</v>
      </c>
    </row>
    <row r="102" spans="1:12" ht="31.5" x14ac:dyDescent="0.15">
      <c r="A102" s="13">
        <v>107</v>
      </c>
      <c r="B102" s="3" t="str">
        <f t="shared" si="1"/>
        <v>B107</v>
      </c>
      <c r="C102" s="13" t="s">
        <v>396</v>
      </c>
      <c r="D102" s="13" t="s">
        <v>2224</v>
      </c>
      <c r="E102" s="13" t="s">
        <v>2227</v>
      </c>
      <c r="F102" s="13" t="s">
        <v>0</v>
      </c>
      <c r="G102" s="13" t="s">
        <v>13</v>
      </c>
      <c r="H102" s="13">
        <v>0</v>
      </c>
      <c r="I102" s="13">
        <v>1</v>
      </c>
      <c r="J102" s="13" t="s">
        <v>16</v>
      </c>
      <c r="K102" s="13"/>
      <c r="L102" s="18" t="s">
        <v>2246</v>
      </c>
    </row>
    <row r="103" spans="1:12" ht="31.5" x14ac:dyDescent="0.15">
      <c r="A103" s="13">
        <v>108</v>
      </c>
      <c r="B103" s="3" t="str">
        <f t="shared" si="1"/>
        <v>B108</v>
      </c>
      <c r="C103" s="13" t="s">
        <v>397</v>
      </c>
      <c r="D103" s="13" t="s">
        <v>2225</v>
      </c>
      <c r="E103" s="13" t="s">
        <v>2226</v>
      </c>
      <c r="F103" s="13" t="s">
        <v>0</v>
      </c>
      <c r="G103" s="13" t="s">
        <v>13</v>
      </c>
      <c r="H103" s="13">
        <v>0</v>
      </c>
      <c r="I103" s="13">
        <v>1</v>
      </c>
      <c r="J103" s="13" t="s">
        <v>16</v>
      </c>
      <c r="K103" s="13"/>
      <c r="L103" s="18" t="s">
        <v>2246</v>
      </c>
    </row>
    <row r="104" spans="1:12" ht="21" x14ac:dyDescent="0.15">
      <c r="A104" s="13">
        <v>109</v>
      </c>
      <c r="B104" s="3" t="str">
        <f t="shared" si="1"/>
        <v>B109</v>
      </c>
      <c r="C104" s="13" t="s">
        <v>398</v>
      </c>
      <c r="D104" s="13" t="s">
        <v>612</v>
      </c>
      <c r="E104" s="13" t="s">
        <v>1665</v>
      </c>
      <c r="F104" s="13" t="s">
        <v>45</v>
      </c>
      <c r="G104" s="13" t="s">
        <v>13</v>
      </c>
      <c r="H104" s="13">
        <v>0</v>
      </c>
      <c r="I104" s="13">
        <v>1</v>
      </c>
      <c r="J104" s="13" t="s">
        <v>11</v>
      </c>
      <c r="K104" s="13"/>
      <c r="L104" s="18" t="s">
        <v>2246</v>
      </c>
    </row>
    <row r="105" spans="1:12" ht="21" x14ac:dyDescent="0.15">
      <c r="A105" s="13">
        <v>110</v>
      </c>
      <c r="B105" s="3" t="str">
        <f t="shared" si="1"/>
        <v>B110</v>
      </c>
      <c r="C105" s="13" t="s">
        <v>399</v>
      </c>
      <c r="D105" s="13" t="s">
        <v>613</v>
      </c>
      <c r="E105" s="13" t="s">
        <v>1667</v>
      </c>
      <c r="F105" s="13" t="s">
        <v>0</v>
      </c>
      <c r="G105" s="13" t="s">
        <v>13</v>
      </c>
      <c r="H105" s="13">
        <v>0</v>
      </c>
      <c r="I105" s="13">
        <v>1</v>
      </c>
      <c r="J105" s="13" t="s">
        <v>11</v>
      </c>
      <c r="K105" s="13"/>
      <c r="L105" s="18" t="s">
        <v>2246</v>
      </c>
    </row>
    <row r="106" spans="1:12" x14ac:dyDescent="0.15">
      <c r="A106" s="13">
        <v>111</v>
      </c>
      <c r="B106" s="3" t="str">
        <f t="shared" si="1"/>
        <v>B111</v>
      </c>
      <c r="C106" s="13" t="s">
        <v>400</v>
      </c>
      <c r="D106" s="13" t="s">
        <v>614</v>
      </c>
      <c r="E106" s="13" t="s">
        <v>1666</v>
      </c>
      <c r="F106" s="13" t="s">
        <v>0</v>
      </c>
      <c r="G106" s="13" t="s">
        <v>13</v>
      </c>
      <c r="H106" s="13">
        <v>0</v>
      </c>
      <c r="I106" s="13">
        <v>1</v>
      </c>
      <c r="J106" s="13" t="s">
        <v>11</v>
      </c>
      <c r="K106" s="13"/>
      <c r="L106" s="18" t="s">
        <v>2246</v>
      </c>
    </row>
    <row r="107" spans="1:12" ht="31.5" x14ac:dyDescent="0.15">
      <c r="A107" s="13">
        <v>112</v>
      </c>
      <c r="B107" s="3" t="str">
        <f t="shared" si="1"/>
        <v>B112</v>
      </c>
      <c r="C107" s="13" t="s">
        <v>401</v>
      </c>
      <c r="D107" s="13" t="s">
        <v>2355</v>
      </c>
      <c r="E107" s="13" t="s">
        <v>2356</v>
      </c>
      <c r="F107" s="13" t="s">
        <v>0</v>
      </c>
      <c r="G107" s="13" t="s">
        <v>13</v>
      </c>
      <c r="H107" s="13">
        <v>0</v>
      </c>
      <c r="I107" s="13">
        <v>1</v>
      </c>
      <c r="J107" s="13" t="s">
        <v>11</v>
      </c>
      <c r="K107" s="13"/>
      <c r="L107" s="18" t="s">
        <v>2246</v>
      </c>
    </row>
    <row r="108" spans="1:12" ht="21" x14ac:dyDescent="0.15">
      <c r="A108" s="13">
        <v>113</v>
      </c>
      <c r="B108" s="3" t="str">
        <f t="shared" si="1"/>
        <v>B113</v>
      </c>
      <c r="C108" s="13" t="s">
        <v>402</v>
      </c>
      <c r="D108" s="27" t="s">
        <v>2357</v>
      </c>
      <c r="E108" s="13" t="s">
        <v>2358</v>
      </c>
      <c r="F108" s="13" t="s">
        <v>0</v>
      </c>
      <c r="G108" s="13" t="s">
        <v>13</v>
      </c>
      <c r="H108" s="13">
        <v>0</v>
      </c>
      <c r="I108" s="13">
        <v>1</v>
      </c>
      <c r="J108" s="13" t="s">
        <v>11</v>
      </c>
      <c r="K108" s="13"/>
      <c r="L108" s="18" t="s">
        <v>2246</v>
      </c>
    </row>
    <row r="109" spans="1:12" ht="21" x14ac:dyDescent="0.15">
      <c r="A109" s="13">
        <v>114</v>
      </c>
      <c r="B109" s="3" t="str">
        <f t="shared" si="1"/>
        <v>B114</v>
      </c>
      <c r="C109" s="13" t="s">
        <v>403</v>
      </c>
      <c r="D109" s="27" t="s">
        <v>2359</v>
      </c>
      <c r="E109" s="13" t="s">
        <v>2360</v>
      </c>
      <c r="F109" s="13" t="s">
        <v>0</v>
      </c>
      <c r="G109" s="13" t="s">
        <v>13</v>
      </c>
      <c r="H109" s="13">
        <v>0</v>
      </c>
      <c r="I109" s="13">
        <v>1</v>
      </c>
      <c r="J109" s="13" t="s">
        <v>11</v>
      </c>
      <c r="K109" s="13"/>
      <c r="L109" s="18" t="s">
        <v>2246</v>
      </c>
    </row>
    <row r="110" spans="1:12" ht="21" x14ac:dyDescent="0.15">
      <c r="A110" s="13">
        <v>115</v>
      </c>
      <c r="B110" s="3" t="str">
        <f t="shared" si="1"/>
        <v>B115</v>
      </c>
      <c r="C110" s="13" t="s">
        <v>404</v>
      </c>
      <c r="D110" s="13" t="s">
        <v>2362</v>
      </c>
      <c r="E110" s="13" t="s">
        <v>2363</v>
      </c>
      <c r="F110" s="13" t="s">
        <v>0</v>
      </c>
      <c r="G110" s="13" t="s">
        <v>13</v>
      </c>
      <c r="H110" s="13">
        <v>0</v>
      </c>
      <c r="I110" s="13">
        <v>1</v>
      </c>
      <c r="J110" s="13" t="s">
        <v>11</v>
      </c>
      <c r="K110" s="13"/>
      <c r="L110" s="18" t="s">
        <v>2246</v>
      </c>
    </row>
    <row r="111" spans="1:12" ht="21" x14ac:dyDescent="0.15">
      <c r="A111" s="13">
        <v>116</v>
      </c>
      <c r="B111" s="3" t="str">
        <f t="shared" si="1"/>
        <v>B116</v>
      </c>
      <c r="C111" s="13" t="s">
        <v>405</v>
      </c>
      <c r="D111" s="27" t="s">
        <v>2364</v>
      </c>
      <c r="E111" s="27" t="s">
        <v>2365</v>
      </c>
      <c r="F111" s="13" t="s">
        <v>0</v>
      </c>
      <c r="G111" s="13" t="s">
        <v>13</v>
      </c>
      <c r="H111" s="13">
        <v>0</v>
      </c>
      <c r="I111" s="13">
        <v>1</v>
      </c>
      <c r="J111" s="13" t="s">
        <v>11</v>
      </c>
      <c r="K111" s="13"/>
      <c r="L111" s="18" t="s">
        <v>2246</v>
      </c>
    </row>
    <row r="112" spans="1:12" ht="31.5" x14ac:dyDescent="0.15">
      <c r="A112" s="13">
        <v>117</v>
      </c>
      <c r="B112" s="3" t="str">
        <f t="shared" si="1"/>
        <v>B117</v>
      </c>
      <c r="C112" s="13" t="s">
        <v>406</v>
      </c>
      <c r="D112" s="13" t="s">
        <v>615</v>
      </c>
      <c r="E112" s="13" t="s">
        <v>1080</v>
      </c>
      <c r="F112" s="13" t="s">
        <v>0</v>
      </c>
      <c r="G112" s="13" t="s">
        <v>13</v>
      </c>
      <c r="H112" s="13">
        <v>0</v>
      </c>
      <c r="I112" s="13">
        <v>1</v>
      </c>
      <c r="J112" s="13" t="s">
        <v>11</v>
      </c>
      <c r="K112" s="13"/>
      <c r="L112" s="18" t="s">
        <v>2246</v>
      </c>
    </row>
    <row r="113" spans="1:12" x14ac:dyDescent="0.15">
      <c r="A113" s="13">
        <v>118</v>
      </c>
      <c r="B113" s="3" t="str">
        <f t="shared" si="1"/>
        <v>B118</v>
      </c>
      <c r="C113" s="13" t="s">
        <v>407</v>
      </c>
      <c r="D113" s="13" t="s">
        <v>616</v>
      </c>
      <c r="E113" s="13" t="s">
        <v>1081</v>
      </c>
      <c r="F113" s="13" t="s">
        <v>0</v>
      </c>
      <c r="G113" s="13" t="s">
        <v>13</v>
      </c>
      <c r="H113" s="13">
        <v>0</v>
      </c>
      <c r="I113" s="13">
        <v>1</v>
      </c>
      <c r="J113" s="13" t="s">
        <v>11</v>
      </c>
      <c r="K113" s="13"/>
      <c r="L113" s="18" t="s">
        <v>2246</v>
      </c>
    </row>
    <row r="114" spans="1:12" ht="21" x14ac:dyDescent="0.15">
      <c r="A114" s="13">
        <v>119</v>
      </c>
      <c r="B114" s="3" t="str">
        <f t="shared" si="1"/>
        <v>B119</v>
      </c>
      <c r="C114" s="13" t="s">
        <v>1082</v>
      </c>
      <c r="D114" s="13" t="s">
        <v>1787</v>
      </c>
      <c r="E114" s="13" t="s">
        <v>1083</v>
      </c>
      <c r="F114" s="13" t="s">
        <v>0</v>
      </c>
      <c r="G114" s="13" t="s">
        <v>13</v>
      </c>
      <c r="H114" s="13">
        <v>0</v>
      </c>
      <c r="I114" s="13">
        <v>1</v>
      </c>
      <c r="J114" s="13" t="s">
        <v>11</v>
      </c>
      <c r="K114" s="13"/>
      <c r="L114" s="18" t="s">
        <v>2246</v>
      </c>
    </row>
    <row r="115" spans="1:12" ht="21" x14ac:dyDescent="0.15">
      <c r="A115" s="13">
        <v>120</v>
      </c>
      <c r="B115" s="3" t="str">
        <f t="shared" si="1"/>
        <v>B120</v>
      </c>
      <c r="C115" s="13" t="s">
        <v>1084</v>
      </c>
      <c r="D115" s="13" t="s">
        <v>1786</v>
      </c>
      <c r="E115" s="13" t="s">
        <v>1085</v>
      </c>
      <c r="F115" s="13" t="s">
        <v>0</v>
      </c>
      <c r="G115" s="13" t="s">
        <v>13</v>
      </c>
      <c r="H115" s="13">
        <v>0</v>
      </c>
      <c r="I115" s="13">
        <v>1</v>
      </c>
      <c r="J115" s="13" t="s">
        <v>11</v>
      </c>
      <c r="K115" s="13"/>
      <c r="L115" s="18" t="s">
        <v>2246</v>
      </c>
    </row>
    <row r="116" spans="1:12" x14ac:dyDescent="0.15">
      <c r="A116" s="13">
        <v>121</v>
      </c>
      <c r="B116" s="3" t="str">
        <f t="shared" si="1"/>
        <v>B121</v>
      </c>
      <c r="C116" s="13" t="s">
        <v>408</v>
      </c>
      <c r="D116" s="13" t="s">
        <v>617</v>
      </c>
      <c r="E116" s="13" t="s">
        <v>1086</v>
      </c>
      <c r="F116" s="13" t="s">
        <v>0</v>
      </c>
      <c r="G116" s="13" t="s">
        <v>13</v>
      </c>
      <c r="H116" s="13">
        <v>0</v>
      </c>
      <c r="I116" s="13">
        <v>1</v>
      </c>
      <c r="J116" s="13" t="s">
        <v>11</v>
      </c>
      <c r="K116" s="13"/>
      <c r="L116" s="18" t="s">
        <v>2246</v>
      </c>
    </row>
    <row r="117" spans="1:12" ht="31.5" x14ac:dyDescent="0.15">
      <c r="A117" s="13">
        <v>122</v>
      </c>
      <c r="B117" s="3" t="str">
        <f t="shared" si="1"/>
        <v>B122</v>
      </c>
      <c r="C117" s="13" t="s">
        <v>409</v>
      </c>
      <c r="D117" s="13" t="s">
        <v>618</v>
      </c>
      <c r="E117" s="13" t="s">
        <v>1669</v>
      </c>
      <c r="F117" s="13" t="s">
        <v>0</v>
      </c>
      <c r="G117" s="13" t="s">
        <v>13</v>
      </c>
      <c r="H117" s="13">
        <v>0</v>
      </c>
      <c r="I117" s="13">
        <v>1</v>
      </c>
      <c r="J117" s="13" t="s">
        <v>11</v>
      </c>
      <c r="K117" s="13"/>
      <c r="L117" s="18" t="s">
        <v>2246</v>
      </c>
    </row>
    <row r="118" spans="1:12" ht="21" x14ac:dyDescent="0.15">
      <c r="A118" s="13">
        <v>123</v>
      </c>
      <c r="B118" s="3" t="str">
        <f t="shared" si="1"/>
        <v>B123</v>
      </c>
      <c r="C118" s="13" t="s">
        <v>367</v>
      </c>
      <c r="D118" s="13" t="s">
        <v>603</v>
      </c>
      <c r="E118" s="13" t="s">
        <v>1641</v>
      </c>
      <c r="F118" s="13" t="s">
        <v>45</v>
      </c>
      <c r="G118" s="13" t="s">
        <v>13</v>
      </c>
      <c r="H118" s="13">
        <v>0</v>
      </c>
      <c r="I118" s="13">
        <v>1</v>
      </c>
      <c r="J118" s="13" t="s">
        <v>11</v>
      </c>
      <c r="K118" s="13"/>
      <c r="L118" s="18" t="s">
        <v>2246</v>
      </c>
    </row>
    <row r="119" spans="1:12" ht="21" x14ac:dyDescent="0.15">
      <c r="A119" s="13">
        <v>124</v>
      </c>
      <c r="B119" s="3" t="str">
        <f t="shared" si="1"/>
        <v>B124</v>
      </c>
      <c r="C119" s="13" t="s">
        <v>367</v>
      </c>
      <c r="D119" s="13" t="s">
        <v>619</v>
      </c>
      <c r="E119" s="13" t="s">
        <v>1668</v>
      </c>
      <c r="F119" s="13" t="s">
        <v>45</v>
      </c>
      <c r="G119" s="13" t="s">
        <v>13</v>
      </c>
      <c r="H119" s="13">
        <v>0</v>
      </c>
      <c r="I119" s="13">
        <v>1</v>
      </c>
      <c r="J119" s="13" t="s">
        <v>11</v>
      </c>
      <c r="K119" s="13"/>
      <c r="L119" s="18" t="s">
        <v>2246</v>
      </c>
    </row>
    <row r="120" spans="1:12" ht="31.5" x14ac:dyDescent="0.15">
      <c r="A120" s="13">
        <v>126</v>
      </c>
      <c r="B120" s="3" t="str">
        <f t="shared" si="1"/>
        <v>B126</v>
      </c>
      <c r="C120" s="13" t="s">
        <v>410</v>
      </c>
      <c r="D120" s="13" t="s">
        <v>2230</v>
      </c>
      <c r="E120" s="13" t="s">
        <v>1670</v>
      </c>
      <c r="F120" s="13" t="s">
        <v>0</v>
      </c>
      <c r="G120" s="13" t="s">
        <v>13</v>
      </c>
      <c r="H120" s="13">
        <v>0</v>
      </c>
      <c r="I120" s="13">
        <v>1</v>
      </c>
      <c r="J120" s="13" t="s">
        <v>16</v>
      </c>
      <c r="K120" s="13"/>
      <c r="L120" s="18" t="s">
        <v>2246</v>
      </c>
    </row>
    <row r="121" spans="1:12" ht="31.5" x14ac:dyDescent="0.15">
      <c r="A121" s="13">
        <v>127</v>
      </c>
      <c r="B121" s="3" t="str">
        <f t="shared" si="1"/>
        <v>B127</v>
      </c>
      <c r="C121" s="13" t="s">
        <v>411</v>
      </c>
      <c r="D121" s="13" t="s">
        <v>2228</v>
      </c>
      <c r="E121" s="13" t="s">
        <v>1671</v>
      </c>
      <c r="F121" s="13" t="s">
        <v>0</v>
      </c>
      <c r="G121" s="13" t="s">
        <v>13</v>
      </c>
      <c r="H121" s="13">
        <v>0</v>
      </c>
      <c r="I121" s="13">
        <v>1</v>
      </c>
      <c r="J121" s="13" t="s">
        <v>16</v>
      </c>
      <c r="K121" s="13"/>
      <c r="L121" s="18" t="s">
        <v>2246</v>
      </c>
    </row>
    <row r="122" spans="1:12" ht="31.5" x14ac:dyDescent="0.15">
      <c r="A122" s="13">
        <v>128</v>
      </c>
      <c r="B122" s="3" t="str">
        <f t="shared" si="1"/>
        <v>B128</v>
      </c>
      <c r="C122" s="13" t="s">
        <v>412</v>
      </c>
      <c r="D122" s="13" t="s">
        <v>2229</v>
      </c>
      <c r="E122" s="13" t="s">
        <v>1672</v>
      </c>
      <c r="F122" s="13" t="s">
        <v>0</v>
      </c>
      <c r="G122" s="13" t="s">
        <v>13</v>
      </c>
      <c r="H122" s="13">
        <v>0</v>
      </c>
      <c r="I122" s="13">
        <v>1</v>
      </c>
      <c r="J122" s="13" t="s">
        <v>16</v>
      </c>
      <c r="K122" s="13"/>
      <c r="L122" s="18" t="s">
        <v>2246</v>
      </c>
    </row>
    <row r="123" spans="1:12" ht="21" x14ac:dyDescent="0.15">
      <c r="A123" s="13">
        <v>129</v>
      </c>
      <c r="B123" s="3" t="str">
        <f t="shared" si="1"/>
        <v>B129</v>
      </c>
      <c r="C123" s="13" t="s">
        <v>413</v>
      </c>
      <c r="D123" s="13" t="s">
        <v>582</v>
      </c>
      <c r="E123" s="13" t="s">
        <v>1673</v>
      </c>
      <c r="F123" s="13" t="s">
        <v>45</v>
      </c>
      <c r="G123" s="13" t="s">
        <v>13</v>
      </c>
      <c r="H123" s="13">
        <v>0</v>
      </c>
      <c r="I123" s="13">
        <v>1</v>
      </c>
      <c r="J123" s="13" t="s">
        <v>11</v>
      </c>
      <c r="K123" s="13"/>
      <c r="L123" s="18" t="s">
        <v>2246</v>
      </c>
    </row>
    <row r="124" spans="1:12" ht="21" x14ac:dyDescent="0.15">
      <c r="A124" s="13">
        <v>130</v>
      </c>
      <c r="B124" s="3" t="str">
        <f t="shared" ref="B124:B167" si="2">"B"&amp;A124</f>
        <v>B130</v>
      </c>
      <c r="C124" s="13" t="s">
        <v>414</v>
      </c>
      <c r="D124" s="13" t="s">
        <v>620</v>
      </c>
      <c r="E124" s="13" t="s">
        <v>1674</v>
      </c>
      <c r="F124" s="13" t="s">
        <v>45</v>
      </c>
      <c r="G124" s="13" t="s">
        <v>13</v>
      </c>
      <c r="H124" s="13">
        <v>0</v>
      </c>
      <c r="I124" s="13">
        <v>1</v>
      </c>
      <c r="J124" s="13" t="s">
        <v>11</v>
      </c>
      <c r="K124" s="13"/>
      <c r="L124" s="18" t="s">
        <v>2246</v>
      </c>
    </row>
    <row r="125" spans="1:12" ht="21" x14ac:dyDescent="0.15">
      <c r="A125" s="13">
        <v>131</v>
      </c>
      <c r="B125" s="3" t="str">
        <f t="shared" si="2"/>
        <v>B131</v>
      </c>
      <c r="C125" s="13" t="s">
        <v>415</v>
      </c>
      <c r="D125" s="13" t="s">
        <v>621</v>
      </c>
      <c r="E125" s="13" t="s">
        <v>1675</v>
      </c>
      <c r="F125" s="13" t="s">
        <v>45</v>
      </c>
      <c r="G125" s="13" t="s">
        <v>13</v>
      </c>
      <c r="H125" s="13">
        <v>0</v>
      </c>
      <c r="I125" s="13">
        <v>1</v>
      </c>
      <c r="J125" s="13" t="s">
        <v>11</v>
      </c>
      <c r="K125" s="13"/>
      <c r="L125" s="18" t="s">
        <v>2246</v>
      </c>
    </row>
    <row r="126" spans="1:12" ht="21" x14ac:dyDescent="0.15">
      <c r="A126" s="13">
        <v>132</v>
      </c>
      <c r="B126" s="3" t="str">
        <f t="shared" si="2"/>
        <v>B132</v>
      </c>
      <c r="C126" s="13" t="s">
        <v>416</v>
      </c>
      <c r="D126" s="13" t="s">
        <v>622</v>
      </c>
      <c r="E126" s="13" t="s">
        <v>1676</v>
      </c>
      <c r="F126" s="13" t="s">
        <v>45</v>
      </c>
      <c r="G126" s="13" t="s">
        <v>13</v>
      </c>
      <c r="H126" s="13">
        <v>0</v>
      </c>
      <c r="I126" s="13">
        <v>1</v>
      </c>
      <c r="J126" s="13" t="s">
        <v>11</v>
      </c>
      <c r="K126" s="13"/>
      <c r="L126" s="18" t="s">
        <v>2246</v>
      </c>
    </row>
    <row r="127" spans="1:12" ht="21" x14ac:dyDescent="0.15">
      <c r="A127" s="13">
        <v>133</v>
      </c>
      <c r="B127" s="3" t="str">
        <f t="shared" si="2"/>
        <v>B133</v>
      </c>
      <c r="C127" s="13" t="s">
        <v>417</v>
      </c>
      <c r="D127" s="13" t="s">
        <v>623</v>
      </c>
      <c r="E127" s="13" t="s">
        <v>1677</v>
      </c>
      <c r="F127" s="13" t="s">
        <v>45</v>
      </c>
      <c r="G127" s="13" t="s">
        <v>13</v>
      </c>
      <c r="H127" s="13">
        <v>0</v>
      </c>
      <c r="I127" s="13">
        <v>1</v>
      </c>
      <c r="J127" s="13" t="s">
        <v>11</v>
      </c>
      <c r="K127" s="13"/>
      <c r="L127" s="18" t="s">
        <v>2246</v>
      </c>
    </row>
    <row r="128" spans="1:12" ht="21" x14ac:dyDescent="0.15">
      <c r="A128" s="13">
        <v>134</v>
      </c>
      <c r="B128" s="3" t="str">
        <f t="shared" si="2"/>
        <v>B134</v>
      </c>
      <c r="C128" s="13" t="s">
        <v>418</v>
      </c>
      <c r="D128" s="13" t="s">
        <v>624</v>
      </c>
      <c r="E128" s="13" t="s">
        <v>1678</v>
      </c>
      <c r="F128" s="13" t="s">
        <v>45</v>
      </c>
      <c r="G128" s="13" t="s">
        <v>13</v>
      </c>
      <c r="H128" s="13">
        <v>0</v>
      </c>
      <c r="I128" s="13">
        <v>1</v>
      </c>
      <c r="J128" s="13" t="s">
        <v>11</v>
      </c>
      <c r="K128" s="13"/>
      <c r="L128" s="18" t="s">
        <v>2246</v>
      </c>
    </row>
    <row r="129" spans="1:12" ht="21" x14ac:dyDescent="0.15">
      <c r="A129" s="13">
        <v>135</v>
      </c>
      <c r="B129" s="3" t="str">
        <f t="shared" si="2"/>
        <v>B135</v>
      </c>
      <c r="C129" s="13" t="s">
        <v>419</v>
      </c>
      <c r="D129" s="13" t="s">
        <v>625</v>
      </c>
      <c r="E129" s="13" t="s">
        <v>1679</v>
      </c>
      <c r="F129" s="13" t="s">
        <v>45</v>
      </c>
      <c r="G129" s="13" t="s">
        <v>13</v>
      </c>
      <c r="H129" s="13">
        <v>0</v>
      </c>
      <c r="I129" s="13">
        <v>1</v>
      </c>
      <c r="J129" s="13" t="s">
        <v>11</v>
      </c>
      <c r="K129" s="13"/>
      <c r="L129" s="18" t="s">
        <v>2246</v>
      </c>
    </row>
    <row r="130" spans="1:12" ht="21" x14ac:dyDescent="0.15">
      <c r="A130" s="13">
        <v>136</v>
      </c>
      <c r="B130" s="3" t="str">
        <f t="shared" si="2"/>
        <v>B136</v>
      </c>
      <c r="C130" s="13" t="s">
        <v>420</v>
      </c>
      <c r="D130" s="13" t="s">
        <v>626</v>
      </c>
      <c r="E130" s="13" t="s">
        <v>1680</v>
      </c>
      <c r="F130" s="13" t="s">
        <v>45</v>
      </c>
      <c r="G130" s="13" t="s">
        <v>13</v>
      </c>
      <c r="H130" s="13">
        <v>0</v>
      </c>
      <c r="I130" s="13">
        <v>1</v>
      </c>
      <c r="J130" s="13" t="s">
        <v>11</v>
      </c>
      <c r="K130" s="13"/>
      <c r="L130" s="18" t="s">
        <v>2246</v>
      </c>
    </row>
    <row r="131" spans="1:12" ht="31.5" x14ac:dyDescent="0.15">
      <c r="A131" s="13">
        <v>137</v>
      </c>
      <c r="B131" s="3" t="str">
        <f t="shared" si="2"/>
        <v>B137</v>
      </c>
      <c r="C131" s="13" t="s">
        <v>421</v>
      </c>
      <c r="D131" s="13" t="s">
        <v>627</v>
      </c>
      <c r="E131" s="13" t="s">
        <v>1681</v>
      </c>
      <c r="F131" s="13" t="s">
        <v>45</v>
      </c>
      <c r="G131" s="13" t="s">
        <v>13</v>
      </c>
      <c r="H131" s="13">
        <v>0</v>
      </c>
      <c r="I131" s="13">
        <v>1</v>
      </c>
      <c r="J131" s="13" t="s">
        <v>11</v>
      </c>
      <c r="K131" s="13"/>
      <c r="L131" s="18" t="s">
        <v>2246</v>
      </c>
    </row>
    <row r="132" spans="1:12" ht="21" x14ac:dyDescent="0.15">
      <c r="A132" s="13">
        <v>138</v>
      </c>
      <c r="B132" s="3" t="str">
        <f t="shared" si="2"/>
        <v>B138</v>
      </c>
      <c r="C132" s="13" t="s">
        <v>422</v>
      </c>
      <c r="D132" s="13" t="s">
        <v>628</v>
      </c>
      <c r="E132" s="13" t="s">
        <v>1682</v>
      </c>
      <c r="F132" s="13" t="s">
        <v>0</v>
      </c>
      <c r="G132" s="13" t="s">
        <v>13</v>
      </c>
      <c r="H132" s="13">
        <v>0</v>
      </c>
      <c r="I132" s="13">
        <v>1</v>
      </c>
      <c r="J132" s="13" t="s">
        <v>11</v>
      </c>
      <c r="K132" s="13"/>
      <c r="L132" s="18" t="s">
        <v>2246</v>
      </c>
    </row>
    <row r="133" spans="1:12" ht="21" x14ac:dyDescent="0.15">
      <c r="A133" s="13">
        <v>139</v>
      </c>
      <c r="B133" s="3" t="str">
        <f t="shared" si="2"/>
        <v>B139</v>
      </c>
      <c r="C133" s="13" t="s">
        <v>423</v>
      </c>
      <c r="D133" s="13" t="s">
        <v>629</v>
      </c>
      <c r="E133" s="13" t="s">
        <v>1683</v>
      </c>
      <c r="F133" s="13" t="s">
        <v>0</v>
      </c>
      <c r="G133" s="13" t="s">
        <v>13</v>
      </c>
      <c r="H133" s="13">
        <v>0</v>
      </c>
      <c r="I133" s="13">
        <v>1</v>
      </c>
      <c r="J133" s="13" t="s">
        <v>11</v>
      </c>
      <c r="K133" s="13"/>
      <c r="L133" s="18" t="s">
        <v>2246</v>
      </c>
    </row>
    <row r="134" spans="1:12" ht="21" x14ac:dyDescent="0.15">
      <c r="A134" s="13">
        <v>140</v>
      </c>
      <c r="B134" s="3" t="str">
        <f t="shared" si="2"/>
        <v>B140</v>
      </c>
      <c r="C134" s="13" t="s">
        <v>424</v>
      </c>
      <c r="D134" s="13" t="s">
        <v>630</v>
      </c>
      <c r="E134" s="13" t="s">
        <v>1684</v>
      </c>
      <c r="F134" s="13" t="s">
        <v>0</v>
      </c>
      <c r="G134" s="13" t="s">
        <v>13</v>
      </c>
      <c r="H134" s="13">
        <v>0</v>
      </c>
      <c r="I134" s="13">
        <v>1</v>
      </c>
      <c r="J134" s="13" t="s">
        <v>11</v>
      </c>
      <c r="K134" s="13"/>
      <c r="L134" s="18" t="s">
        <v>2246</v>
      </c>
    </row>
    <row r="135" spans="1:12" ht="21" x14ac:dyDescent="0.15">
      <c r="A135" s="13">
        <v>141</v>
      </c>
      <c r="B135" s="3" t="str">
        <f t="shared" si="2"/>
        <v>B141</v>
      </c>
      <c r="C135" s="13" t="s">
        <v>425</v>
      </c>
      <c r="D135" s="13" t="s">
        <v>631</v>
      </c>
      <c r="E135" s="13" t="s">
        <v>1685</v>
      </c>
      <c r="F135" s="13" t="s">
        <v>0</v>
      </c>
      <c r="G135" s="13" t="s">
        <v>13</v>
      </c>
      <c r="H135" s="13">
        <v>0</v>
      </c>
      <c r="I135" s="13">
        <v>1</v>
      </c>
      <c r="J135" s="13" t="s">
        <v>11</v>
      </c>
      <c r="K135" s="13"/>
      <c r="L135" s="18" t="s">
        <v>2246</v>
      </c>
    </row>
    <row r="136" spans="1:12" ht="21" x14ac:dyDescent="0.15">
      <c r="A136" s="13">
        <v>142</v>
      </c>
      <c r="B136" s="3" t="str">
        <f t="shared" si="2"/>
        <v>B142</v>
      </c>
      <c r="C136" s="13" t="s">
        <v>426</v>
      </c>
      <c r="D136" s="13" t="s">
        <v>2164</v>
      </c>
      <c r="E136" s="13" t="s">
        <v>1686</v>
      </c>
      <c r="F136" s="13" t="s">
        <v>0</v>
      </c>
      <c r="G136" s="13" t="s">
        <v>13</v>
      </c>
      <c r="H136" s="13">
        <v>0</v>
      </c>
      <c r="I136" s="13">
        <v>1</v>
      </c>
      <c r="J136" s="13" t="s">
        <v>11</v>
      </c>
      <c r="K136" s="13"/>
      <c r="L136" s="18" t="s">
        <v>2246</v>
      </c>
    </row>
    <row r="137" spans="1:12" ht="21" x14ac:dyDescent="0.15">
      <c r="A137" s="13">
        <v>143</v>
      </c>
      <c r="B137" s="3" t="str">
        <f t="shared" si="2"/>
        <v>B143</v>
      </c>
      <c r="C137" s="13" t="s">
        <v>427</v>
      </c>
      <c r="D137" s="13" t="s">
        <v>2163</v>
      </c>
      <c r="E137" s="13" t="s">
        <v>1687</v>
      </c>
      <c r="F137" s="13" t="s">
        <v>0</v>
      </c>
      <c r="G137" s="13" t="s">
        <v>13</v>
      </c>
      <c r="H137" s="13">
        <v>0</v>
      </c>
      <c r="I137" s="13">
        <v>1</v>
      </c>
      <c r="J137" s="13" t="s">
        <v>11</v>
      </c>
      <c r="K137" s="13"/>
      <c r="L137" s="18" t="s">
        <v>2246</v>
      </c>
    </row>
    <row r="138" spans="1:12" ht="21" x14ac:dyDescent="0.15">
      <c r="A138" s="13">
        <v>144</v>
      </c>
      <c r="B138" s="3" t="str">
        <f t="shared" si="2"/>
        <v>B144</v>
      </c>
      <c r="C138" s="13" t="s">
        <v>428</v>
      </c>
      <c r="D138" s="13" t="s">
        <v>2162</v>
      </c>
      <c r="E138" s="13" t="s">
        <v>1688</v>
      </c>
      <c r="F138" s="13" t="s">
        <v>0</v>
      </c>
      <c r="G138" s="13" t="s">
        <v>13</v>
      </c>
      <c r="H138" s="13">
        <v>0</v>
      </c>
      <c r="I138" s="13">
        <v>1</v>
      </c>
      <c r="J138" s="13" t="s">
        <v>11</v>
      </c>
      <c r="K138" s="13"/>
      <c r="L138" s="18" t="s">
        <v>2246</v>
      </c>
    </row>
    <row r="139" spans="1:12" ht="21" x14ac:dyDescent="0.15">
      <c r="A139" s="13">
        <v>145</v>
      </c>
      <c r="B139" s="3" t="str">
        <f t="shared" si="2"/>
        <v>B145</v>
      </c>
      <c r="C139" s="13" t="s">
        <v>429</v>
      </c>
      <c r="D139" s="13" t="s">
        <v>2161</v>
      </c>
      <c r="E139" s="13" t="s">
        <v>1689</v>
      </c>
      <c r="F139" s="13" t="s">
        <v>0</v>
      </c>
      <c r="G139" s="13" t="s">
        <v>13</v>
      </c>
      <c r="H139" s="13">
        <v>0</v>
      </c>
      <c r="I139" s="13">
        <v>1</v>
      </c>
      <c r="J139" s="13" t="s">
        <v>11</v>
      </c>
      <c r="K139" s="13"/>
      <c r="L139" s="18" t="s">
        <v>2246</v>
      </c>
    </row>
    <row r="140" spans="1:12" ht="21" x14ac:dyDescent="0.15">
      <c r="A140" s="13">
        <v>146</v>
      </c>
      <c r="B140" s="3" t="str">
        <f t="shared" si="2"/>
        <v>B146</v>
      </c>
      <c r="C140" s="13" t="s">
        <v>430</v>
      </c>
      <c r="D140" s="13" t="s">
        <v>2156</v>
      </c>
      <c r="E140" s="13" t="s">
        <v>2150</v>
      </c>
      <c r="F140" s="13" t="s">
        <v>45</v>
      </c>
      <c r="G140" s="13" t="s">
        <v>13</v>
      </c>
      <c r="H140" s="13">
        <v>0</v>
      </c>
      <c r="I140" s="13">
        <v>1</v>
      </c>
      <c r="J140" s="13" t="s">
        <v>11</v>
      </c>
      <c r="K140" s="13"/>
      <c r="L140" s="18" t="s">
        <v>2246</v>
      </c>
    </row>
    <row r="141" spans="1:12" ht="31.5" x14ac:dyDescent="0.15">
      <c r="A141" s="13">
        <v>148</v>
      </c>
      <c r="B141" s="3" t="str">
        <f t="shared" si="2"/>
        <v>B148</v>
      </c>
      <c r="C141" s="13" t="s">
        <v>431</v>
      </c>
      <c r="D141" s="13" t="s">
        <v>2155</v>
      </c>
      <c r="E141" s="13" t="s">
        <v>2149</v>
      </c>
      <c r="F141" s="13" t="s">
        <v>45</v>
      </c>
      <c r="G141" s="13" t="s">
        <v>13</v>
      </c>
      <c r="H141" s="13">
        <v>0</v>
      </c>
      <c r="I141" s="13">
        <v>1</v>
      </c>
      <c r="J141" s="13" t="s">
        <v>11</v>
      </c>
      <c r="K141" s="13"/>
      <c r="L141" s="18" t="s">
        <v>2246</v>
      </c>
    </row>
    <row r="142" spans="1:12" x14ac:dyDescent="0.15">
      <c r="A142" s="13">
        <v>150</v>
      </c>
      <c r="B142" s="3" t="str">
        <f t="shared" si="2"/>
        <v>B150</v>
      </c>
      <c r="C142" s="13" t="s">
        <v>432</v>
      </c>
      <c r="D142" s="13" t="s">
        <v>632</v>
      </c>
      <c r="E142" s="13" t="s">
        <v>1691</v>
      </c>
      <c r="F142" s="13" t="s">
        <v>45</v>
      </c>
      <c r="G142" s="13" t="s">
        <v>13</v>
      </c>
      <c r="H142" s="13">
        <v>0</v>
      </c>
      <c r="I142" s="13">
        <v>1</v>
      </c>
      <c r="J142" s="13" t="s">
        <v>11</v>
      </c>
      <c r="K142" s="13"/>
      <c r="L142" s="18" t="s">
        <v>2246</v>
      </c>
    </row>
    <row r="143" spans="1:12" ht="31.5" x14ac:dyDescent="0.15">
      <c r="A143" s="13">
        <v>151</v>
      </c>
      <c r="B143" s="3" t="str">
        <f t="shared" si="2"/>
        <v>B151</v>
      </c>
      <c r="C143" s="13" t="s">
        <v>433</v>
      </c>
      <c r="D143" s="13" t="s">
        <v>2154</v>
      </c>
      <c r="E143" s="13" t="s">
        <v>1693</v>
      </c>
      <c r="F143" s="13" t="s">
        <v>45</v>
      </c>
      <c r="G143" s="13" t="s">
        <v>13</v>
      </c>
      <c r="H143" s="13">
        <v>0</v>
      </c>
      <c r="I143" s="13">
        <v>1</v>
      </c>
      <c r="J143" s="13" t="s">
        <v>11</v>
      </c>
      <c r="K143" s="13"/>
      <c r="L143" s="18" t="s">
        <v>2246</v>
      </c>
    </row>
    <row r="144" spans="1:12" x14ac:dyDescent="0.15">
      <c r="A144" s="13">
        <v>153</v>
      </c>
      <c r="B144" s="3" t="str">
        <f t="shared" si="2"/>
        <v>B153</v>
      </c>
      <c r="C144" s="13" t="s">
        <v>434</v>
      </c>
      <c r="D144" s="13" t="s">
        <v>633</v>
      </c>
      <c r="E144" s="13" t="s">
        <v>1692</v>
      </c>
      <c r="F144" s="13" t="s">
        <v>0</v>
      </c>
      <c r="G144" s="13" t="s">
        <v>13</v>
      </c>
      <c r="H144" s="13">
        <v>0</v>
      </c>
      <c r="I144" s="13">
        <v>1</v>
      </c>
      <c r="J144" s="13" t="s">
        <v>16</v>
      </c>
      <c r="K144" s="13"/>
      <c r="L144" s="18" t="s">
        <v>2246</v>
      </c>
    </row>
    <row r="145" spans="1:12" ht="31.5" x14ac:dyDescent="0.15">
      <c r="A145" s="13">
        <v>154</v>
      </c>
      <c r="B145" s="3" t="str">
        <f t="shared" si="2"/>
        <v>B154</v>
      </c>
      <c r="C145" s="13" t="s">
        <v>435</v>
      </c>
      <c r="D145" s="13" t="s">
        <v>634</v>
      </c>
      <c r="E145" s="13" t="s">
        <v>1696</v>
      </c>
      <c r="F145" s="13" t="s">
        <v>0</v>
      </c>
      <c r="G145" s="13" t="s">
        <v>13</v>
      </c>
      <c r="H145" s="13">
        <v>0</v>
      </c>
      <c r="I145" s="13">
        <v>1</v>
      </c>
      <c r="J145" s="13" t="s">
        <v>11</v>
      </c>
      <c r="K145" s="13"/>
      <c r="L145" s="18" t="s">
        <v>2246</v>
      </c>
    </row>
    <row r="146" spans="1:12" ht="31.5" x14ac:dyDescent="0.15">
      <c r="A146" s="13">
        <v>156</v>
      </c>
      <c r="B146" s="3" t="str">
        <f t="shared" si="2"/>
        <v>B156</v>
      </c>
      <c r="C146" s="13" t="s">
        <v>436</v>
      </c>
      <c r="D146" s="13" t="s">
        <v>635</v>
      </c>
      <c r="E146" s="13" t="s">
        <v>1694</v>
      </c>
      <c r="F146" s="13" t="s">
        <v>45</v>
      </c>
      <c r="G146" s="13" t="s">
        <v>13</v>
      </c>
      <c r="H146" s="13">
        <v>0</v>
      </c>
      <c r="I146" s="13">
        <v>1</v>
      </c>
      <c r="J146" s="13" t="s">
        <v>11</v>
      </c>
      <c r="K146" s="13"/>
      <c r="L146" s="18" t="s">
        <v>2246</v>
      </c>
    </row>
    <row r="147" spans="1:12" ht="31.5" x14ac:dyDescent="0.15">
      <c r="A147" s="13">
        <v>157</v>
      </c>
      <c r="B147" s="3" t="str">
        <f t="shared" si="2"/>
        <v>B157</v>
      </c>
      <c r="C147" s="13" t="s">
        <v>437</v>
      </c>
      <c r="D147" s="13" t="s">
        <v>636</v>
      </c>
      <c r="E147" s="13" t="s">
        <v>1695</v>
      </c>
      <c r="F147" s="13" t="s">
        <v>45</v>
      </c>
      <c r="G147" s="13" t="s">
        <v>13</v>
      </c>
      <c r="H147" s="13">
        <v>0</v>
      </c>
      <c r="I147" s="13">
        <v>1</v>
      </c>
      <c r="J147" s="13" t="s">
        <v>11</v>
      </c>
      <c r="K147" s="13"/>
      <c r="L147" s="18" t="s">
        <v>2246</v>
      </c>
    </row>
    <row r="148" spans="1:12" ht="21" x14ac:dyDescent="0.15">
      <c r="A148" s="13">
        <v>158</v>
      </c>
      <c r="B148" s="3" t="str">
        <f t="shared" si="2"/>
        <v>B158</v>
      </c>
      <c r="C148" s="13" t="s">
        <v>438</v>
      </c>
      <c r="D148" s="13" t="s">
        <v>637</v>
      </c>
      <c r="E148" s="13" t="s">
        <v>1080</v>
      </c>
      <c r="F148" s="13" t="s">
        <v>0</v>
      </c>
      <c r="G148" s="13" t="s">
        <v>13</v>
      </c>
      <c r="H148" s="13">
        <v>0</v>
      </c>
      <c r="I148" s="13">
        <v>1</v>
      </c>
      <c r="J148" s="13" t="s">
        <v>11</v>
      </c>
      <c r="K148" s="13"/>
      <c r="L148" s="18" t="s">
        <v>2246</v>
      </c>
    </row>
    <row r="149" spans="1:12" x14ac:dyDescent="0.15">
      <c r="A149" s="13">
        <v>159</v>
      </c>
      <c r="B149" s="3" t="str">
        <f t="shared" si="2"/>
        <v>B159</v>
      </c>
      <c r="C149" s="13" t="s">
        <v>439</v>
      </c>
      <c r="D149" s="13" t="s">
        <v>638</v>
      </c>
      <c r="E149" s="13" t="s">
        <v>1697</v>
      </c>
      <c r="F149" s="13" t="s">
        <v>0</v>
      </c>
      <c r="G149" s="13" t="s">
        <v>13</v>
      </c>
      <c r="H149" s="13">
        <v>0</v>
      </c>
      <c r="I149" s="13">
        <v>1</v>
      </c>
      <c r="J149" s="13" t="s">
        <v>11</v>
      </c>
      <c r="K149" s="13"/>
      <c r="L149" s="18" t="s">
        <v>2246</v>
      </c>
    </row>
    <row r="150" spans="1:12" x14ac:dyDescent="0.15">
      <c r="A150" s="13">
        <v>160</v>
      </c>
      <c r="B150" s="3" t="str">
        <f t="shared" si="2"/>
        <v>B160</v>
      </c>
      <c r="C150" s="13" t="s">
        <v>440</v>
      </c>
      <c r="D150" s="13" t="s">
        <v>639</v>
      </c>
      <c r="E150" s="13" t="s">
        <v>1698</v>
      </c>
      <c r="F150" s="13" t="s">
        <v>0</v>
      </c>
      <c r="G150" s="13" t="s">
        <v>13</v>
      </c>
      <c r="H150" s="13">
        <v>0</v>
      </c>
      <c r="I150" s="13">
        <v>1</v>
      </c>
      <c r="J150" s="13" t="s">
        <v>11</v>
      </c>
      <c r="K150" s="13"/>
      <c r="L150" s="18" t="s">
        <v>2246</v>
      </c>
    </row>
    <row r="151" spans="1:12" x14ac:dyDescent="0.15">
      <c r="A151" s="13">
        <v>161</v>
      </c>
      <c r="B151" s="3" t="str">
        <f t="shared" si="2"/>
        <v>B161</v>
      </c>
      <c r="C151" s="13" t="s">
        <v>441</v>
      </c>
      <c r="D151" s="13" t="s">
        <v>640</v>
      </c>
      <c r="E151" s="13" t="s">
        <v>1699</v>
      </c>
      <c r="F151" s="13" t="s">
        <v>0</v>
      </c>
      <c r="G151" s="13" t="s">
        <v>13</v>
      </c>
      <c r="H151" s="13">
        <v>0</v>
      </c>
      <c r="I151" s="13">
        <v>1</v>
      </c>
      <c r="J151" s="13" t="s">
        <v>11</v>
      </c>
      <c r="K151" s="13"/>
      <c r="L151" s="18" t="s">
        <v>2246</v>
      </c>
    </row>
    <row r="152" spans="1:12" x14ac:dyDescent="0.15">
      <c r="A152" s="13">
        <v>162</v>
      </c>
      <c r="B152" s="3" t="str">
        <f t="shared" si="2"/>
        <v>B162</v>
      </c>
      <c r="C152" s="13" t="s">
        <v>442</v>
      </c>
      <c r="D152" s="13" t="s">
        <v>641</v>
      </c>
      <c r="E152" s="13" t="s">
        <v>1700</v>
      </c>
      <c r="F152" s="13" t="s">
        <v>0</v>
      </c>
      <c r="G152" s="13" t="s">
        <v>13</v>
      </c>
      <c r="H152" s="13">
        <v>0</v>
      </c>
      <c r="I152" s="13">
        <v>1</v>
      </c>
      <c r="J152" s="13" t="s">
        <v>11</v>
      </c>
      <c r="K152" s="13"/>
      <c r="L152" s="18" t="s">
        <v>2246</v>
      </c>
    </row>
    <row r="153" spans="1:12" x14ac:dyDescent="0.15">
      <c r="A153" s="13">
        <v>163</v>
      </c>
      <c r="B153" s="3" t="str">
        <f t="shared" si="2"/>
        <v>B163</v>
      </c>
      <c r="C153" s="13" t="s">
        <v>443</v>
      </c>
      <c r="D153" s="13" t="s">
        <v>642</v>
      </c>
      <c r="E153" s="13" t="s">
        <v>1701</v>
      </c>
      <c r="F153" s="13" t="s">
        <v>0</v>
      </c>
      <c r="G153" s="13" t="s">
        <v>13</v>
      </c>
      <c r="H153" s="13">
        <v>0</v>
      </c>
      <c r="I153" s="13">
        <v>1</v>
      </c>
      <c r="J153" s="13" t="s">
        <v>11</v>
      </c>
      <c r="K153" s="13"/>
      <c r="L153" s="18" t="s">
        <v>2246</v>
      </c>
    </row>
    <row r="154" spans="1:12" x14ac:dyDescent="0.15">
      <c r="A154" s="13">
        <v>164</v>
      </c>
      <c r="B154" s="3" t="str">
        <f t="shared" si="2"/>
        <v>B164</v>
      </c>
      <c r="C154" s="13" t="s">
        <v>444</v>
      </c>
      <c r="D154" s="13" t="s">
        <v>643</v>
      </c>
      <c r="E154" s="13" t="s">
        <v>1702</v>
      </c>
      <c r="F154" s="13" t="s">
        <v>45</v>
      </c>
      <c r="G154" s="13" t="s">
        <v>13</v>
      </c>
      <c r="H154" s="13">
        <v>0</v>
      </c>
      <c r="I154" s="13">
        <v>1</v>
      </c>
      <c r="J154" s="13" t="s">
        <v>11</v>
      </c>
      <c r="K154" s="13"/>
      <c r="L154" s="18" t="s">
        <v>2246</v>
      </c>
    </row>
    <row r="155" spans="1:12" ht="31.5" x14ac:dyDescent="0.15">
      <c r="A155" s="13">
        <v>165</v>
      </c>
      <c r="B155" s="3" t="str">
        <f t="shared" si="2"/>
        <v>B165</v>
      </c>
      <c r="C155" s="13" t="s">
        <v>445</v>
      </c>
      <c r="D155" s="13" t="s">
        <v>644</v>
      </c>
      <c r="E155" s="13" t="s">
        <v>1703</v>
      </c>
      <c r="F155" s="13" t="s">
        <v>45</v>
      </c>
      <c r="G155" s="13" t="s">
        <v>13</v>
      </c>
      <c r="H155" s="13">
        <v>0</v>
      </c>
      <c r="I155" s="13">
        <v>1</v>
      </c>
      <c r="J155" s="13" t="s">
        <v>11</v>
      </c>
      <c r="K155" s="13"/>
      <c r="L155" s="18" t="s">
        <v>2246</v>
      </c>
    </row>
    <row r="156" spans="1:12" ht="21" x14ac:dyDescent="0.15">
      <c r="A156" s="13">
        <v>166</v>
      </c>
      <c r="B156" s="3" t="str">
        <f t="shared" si="2"/>
        <v>B166</v>
      </c>
      <c r="C156" s="13" t="s">
        <v>446</v>
      </c>
      <c r="D156" s="13" t="s">
        <v>2237</v>
      </c>
      <c r="E156" s="13" t="s">
        <v>2239</v>
      </c>
      <c r="F156" s="13" t="s">
        <v>0</v>
      </c>
      <c r="G156" s="13" t="s">
        <v>13</v>
      </c>
      <c r="H156" s="13">
        <v>0</v>
      </c>
      <c r="I156" s="13">
        <v>1</v>
      </c>
      <c r="J156" s="13" t="s">
        <v>16</v>
      </c>
      <c r="K156" s="13"/>
      <c r="L156" s="18" t="s">
        <v>2246</v>
      </c>
    </row>
    <row r="157" spans="1:12" ht="21" x14ac:dyDescent="0.15">
      <c r="A157" s="13">
        <v>168</v>
      </c>
      <c r="B157" s="3" t="str">
        <f t="shared" si="2"/>
        <v>B168</v>
      </c>
      <c r="C157" s="13" t="s">
        <v>447</v>
      </c>
      <c r="D157" s="13" t="s">
        <v>2238</v>
      </c>
      <c r="E157" s="13" t="s">
        <v>2240</v>
      </c>
      <c r="F157" s="13" t="s">
        <v>0</v>
      </c>
      <c r="G157" s="13" t="s">
        <v>13</v>
      </c>
      <c r="H157" s="13">
        <v>0</v>
      </c>
      <c r="I157" s="13">
        <v>1</v>
      </c>
      <c r="J157" s="13" t="s">
        <v>11</v>
      </c>
      <c r="K157" s="13"/>
      <c r="L157" s="18" t="s">
        <v>2246</v>
      </c>
    </row>
    <row r="158" spans="1:12" ht="31.5" x14ac:dyDescent="0.15">
      <c r="A158" s="13">
        <v>169</v>
      </c>
      <c r="B158" s="3" t="str">
        <f t="shared" si="2"/>
        <v>B169</v>
      </c>
      <c r="C158" s="13" t="s">
        <v>448</v>
      </c>
      <c r="D158" s="13" t="s">
        <v>2366</v>
      </c>
      <c r="E158" s="13" t="s">
        <v>2367</v>
      </c>
      <c r="F158" s="13" t="s">
        <v>0</v>
      </c>
      <c r="G158" s="13" t="s">
        <v>13</v>
      </c>
      <c r="H158" s="13">
        <v>0</v>
      </c>
      <c r="I158" s="13">
        <v>1</v>
      </c>
      <c r="J158" s="13" t="s">
        <v>16</v>
      </c>
      <c r="K158" s="13"/>
      <c r="L158" s="18" t="s">
        <v>2246</v>
      </c>
    </row>
    <row r="159" spans="1:12" ht="31.5" x14ac:dyDescent="0.15">
      <c r="A159" s="13">
        <v>171</v>
      </c>
      <c r="B159" s="3" t="str">
        <f t="shared" si="2"/>
        <v>B171</v>
      </c>
      <c r="C159" s="13" t="s">
        <v>449</v>
      </c>
      <c r="D159" s="27" t="s">
        <v>2368</v>
      </c>
      <c r="E159" s="13" t="s">
        <v>2369</v>
      </c>
      <c r="F159" s="13" t="s">
        <v>0</v>
      </c>
      <c r="G159" s="13" t="s">
        <v>13</v>
      </c>
      <c r="H159" s="13">
        <v>0</v>
      </c>
      <c r="I159" s="13">
        <v>1</v>
      </c>
      <c r="J159" s="13" t="s">
        <v>11</v>
      </c>
      <c r="K159" s="13"/>
      <c r="L159" s="18" t="s">
        <v>2246</v>
      </c>
    </row>
    <row r="160" spans="1:12" ht="21" x14ac:dyDescent="0.15">
      <c r="A160" s="13">
        <v>172</v>
      </c>
      <c r="B160" s="3" t="str">
        <f t="shared" si="2"/>
        <v>B172</v>
      </c>
      <c r="C160" s="13" t="s">
        <v>450</v>
      </c>
      <c r="D160" s="27" t="s">
        <v>2370</v>
      </c>
      <c r="E160" s="13" t="s">
        <v>2373</v>
      </c>
      <c r="F160" s="13" t="s">
        <v>0</v>
      </c>
      <c r="G160" s="13" t="s">
        <v>13</v>
      </c>
      <c r="H160" s="13">
        <v>0</v>
      </c>
      <c r="I160" s="13">
        <v>1</v>
      </c>
      <c r="J160" s="13" t="s">
        <v>11</v>
      </c>
      <c r="K160" s="13"/>
      <c r="L160" s="18" t="s">
        <v>2246</v>
      </c>
    </row>
    <row r="161" spans="1:12" ht="21" x14ac:dyDescent="0.15">
      <c r="A161" s="13">
        <v>173</v>
      </c>
      <c r="B161" s="3" t="str">
        <f t="shared" si="2"/>
        <v>B173</v>
      </c>
      <c r="C161" s="13" t="s">
        <v>1087</v>
      </c>
      <c r="D161" s="13" t="s">
        <v>1785</v>
      </c>
      <c r="E161" s="13" t="s">
        <v>1088</v>
      </c>
      <c r="F161" s="13" t="s">
        <v>0</v>
      </c>
      <c r="G161" s="13" t="s">
        <v>13</v>
      </c>
      <c r="H161" s="13">
        <v>0</v>
      </c>
      <c r="I161" s="13">
        <v>1</v>
      </c>
      <c r="J161" s="13" t="s">
        <v>11</v>
      </c>
      <c r="K161" s="13"/>
      <c r="L161" s="18" t="s">
        <v>2246</v>
      </c>
    </row>
    <row r="162" spans="1:12" ht="21" x14ac:dyDescent="0.15">
      <c r="A162" s="13">
        <v>174</v>
      </c>
      <c r="B162" s="3" t="str">
        <f t="shared" si="2"/>
        <v>B174</v>
      </c>
      <c r="C162" s="13" t="s">
        <v>1089</v>
      </c>
      <c r="D162" s="13" t="s">
        <v>1784</v>
      </c>
      <c r="E162" s="13" t="s">
        <v>1090</v>
      </c>
      <c r="F162" s="13" t="s">
        <v>0</v>
      </c>
      <c r="G162" s="13" t="s">
        <v>13</v>
      </c>
      <c r="H162" s="13">
        <v>0</v>
      </c>
      <c r="I162" s="13">
        <v>1</v>
      </c>
      <c r="J162" s="13" t="s">
        <v>11</v>
      </c>
      <c r="K162" s="13"/>
      <c r="L162" s="18" t="s">
        <v>2246</v>
      </c>
    </row>
    <row r="163" spans="1:12" ht="21" x14ac:dyDescent="0.15">
      <c r="A163" s="13">
        <v>175</v>
      </c>
      <c r="B163" s="3" t="str">
        <f t="shared" si="2"/>
        <v>B175</v>
      </c>
      <c r="C163" s="13" t="s">
        <v>1091</v>
      </c>
      <c r="D163" s="13" t="s">
        <v>1783</v>
      </c>
      <c r="E163" s="13" t="s">
        <v>1092</v>
      </c>
      <c r="F163" s="13" t="s">
        <v>0</v>
      </c>
      <c r="G163" s="13" t="s">
        <v>13</v>
      </c>
      <c r="H163" s="13">
        <v>0</v>
      </c>
      <c r="I163" s="13">
        <v>1</v>
      </c>
      <c r="J163" s="13" t="s">
        <v>11</v>
      </c>
      <c r="K163" s="13"/>
      <c r="L163" s="18" t="s">
        <v>2246</v>
      </c>
    </row>
    <row r="164" spans="1:12" ht="21" x14ac:dyDescent="0.15">
      <c r="A164" s="13">
        <v>176</v>
      </c>
      <c r="B164" s="3" t="str">
        <f t="shared" si="2"/>
        <v>B176</v>
      </c>
      <c r="C164" s="13" t="s">
        <v>1093</v>
      </c>
      <c r="D164" s="13" t="s">
        <v>1782</v>
      </c>
      <c r="E164" s="13" t="s">
        <v>1094</v>
      </c>
      <c r="F164" s="13" t="s">
        <v>0</v>
      </c>
      <c r="G164" s="13" t="s">
        <v>13</v>
      </c>
      <c r="H164" s="13">
        <v>0</v>
      </c>
      <c r="I164" s="13">
        <v>1</v>
      </c>
      <c r="J164" s="13" t="s">
        <v>11</v>
      </c>
      <c r="K164" s="13"/>
      <c r="L164" s="18" t="s">
        <v>2246</v>
      </c>
    </row>
    <row r="165" spans="1:12" ht="21" x14ac:dyDescent="0.15">
      <c r="A165" s="13">
        <v>177</v>
      </c>
      <c r="B165" s="3" t="str">
        <f t="shared" si="2"/>
        <v>B177</v>
      </c>
      <c r="C165" s="13" t="s">
        <v>1095</v>
      </c>
      <c r="D165" s="13" t="s">
        <v>1781</v>
      </c>
      <c r="E165" s="13" t="s">
        <v>1096</v>
      </c>
      <c r="F165" s="13" t="s">
        <v>0</v>
      </c>
      <c r="G165" s="13" t="s">
        <v>13</v>
      </c>
      <c r="H165" s="13">
        <v>0</v>
      </c>
      <c r="I165" s="13">
        <v>1</v>
      </c>
      <c r="J165" s="13" t="s">
        <v>11</v>
      </c>
      <c r="K165" s="13"/>
      <c r="L165" s="18" t="s">
        <v>2246</v>
      </c>
    </row>
    <row r="166" spans="1:12" ht="21" x14ac:dyDescent="0.15">
      <c r="A166" s="13">
        <v>178</v>
      </c>
      <c r="B166" s="3" t="str">
        <f t="shared" si="2"/>
        <v>B178</v>
      </c>
      <c r="C166" s="13" t="s">
        <v>1097</v>
      </c>
      <c r="D166" s="13" t="s">
        <v>1780</v>
      </c>
      <c r="E166" s="13" t="s">
        <v>1098</v>
      </c>
      <c r="F166" s="13" t="s">
        <v>0</v>
      </c>
      <c r="G166" s="13" t="s">
        <v>13</v>
      </c>
      <c r="H166" s="13">
        <v>0</v>
      </c>
      <c r="I166" s="13">
        <v>1</v>
      </c>
      <c r="J166" s="13" t="s">
        <v>11</v>
      </c>
      <c r="K166" s="13"/>
      <c r="L166" s="18" t="s">
        <v>2246</v>
      </c>
    </row>
    <row r="167" spans="1:12" ht="21" x14ac:dyDescent="0.15">
      <c r="A167" s="13">
        <v>179</v>
      </c>
      <c r="B167" s="3" t="str">
        <f t="shared" si="2"/>
        <v>B179</v>
      </c>
      <c r="C167" s="13" t="s">
        <v>1099</v>
      </c>
      <c r="D167" s="13" t="s">
        <v>1779</v>
      </c>
      <c r="E167" s="13" t="s">
        <v>1100</v>
      </c>
      <c r="F167" s="13" t="s">
        <v>0</v>
      </c>
      <c r="G167" s="13" t="s">
        <v>13</v>
      </c>
      <c r="H167" s="13">
        <v>0</v>
      </c>
      <c r="I167" s="13">
        <v>1</v>
      </c>
      <c r="J167" s="13" t="s">
        <v>11</v>
      </c>
      <c r="K167" s="13"/>
      <c r="L167" s="18" t="s">
        <v>2246</v>
      </c>
    </row>
    <row r="168" spans="1:12" ht="21" x14ac:dyDescent="0.15">
      <c r="A168" s="13">
        <v>229</v>
      </c>
      <c r="B168" s="3" t="str">
        <f t="shared" ref="B168:B186" si="3">"B"&amp;A168</f>
        <v>B229</v>
      </c>
      <c r="C168" s="13" t="s">
        <v>1101</v>
      </c>
      <c r="D168" s="13" t="s">
        <v>1704</v>
      </c>
      <c r="E168" s="13" t="s">
        <v>1102</v>
      </c>
      <c r="F168" s="13" t="s">
        <v>207</v>
      </c>
      <c r="G168" s="13" t="s">
        <v>13</v>
      </c>
      <c r="H168" s="13">
        <v>0</v>
      </c>
      <c r="I168" s="13">
        <v>1</v>
      </c>
      <c r="J168" s="13" t="s">
        <v>16</v>
      </c>
      <c r="K168" s="13"/>
      <c r="L168" s="18" t="s">
        <v>2246</v>
      </c>
    </row>
    <row r="169" spans="1:12" ht="21" x14ac:dyDescent="0.15">
      <c r="A169" s="13">
        <v>230</v>
      </c>
      <c r="B169" s="3" t="str">
        <f t="shared" si="3"/>
        <v>B230</v>
      </c>
      <c r="C169" s="13" t="s">
        <v>1103</v>
      </c>
      <c r="D169" s="13" t="s">
        <v>1705</v>
      </c>
      <c r="E169" s="13" t="s">
        <v>1104</v>
      </c>
      <c r="F169" s="13" t="s">
        <v>207</v>
      </c>
      <c r="G169" s="13" t="s">
        <v>13</v>
      </c>
      <c r="H169" s="13">
        <v>0</v>
      </c>
      <c r="I169" s="13">
        <v>1</v>
      </c>
      <c r="J169" s="13" t="s">
        <v>16</v>
      </c>
      <c r="K169" s="13"/>
      <c r="L169" s="18" t="s">
        <v>2246</v>
      </c>
    </row>
    <row r="170" spans="1:12" ht="21" x14ac:dyDescent="0.15">
      <c r="A170" s="13">
        <v>231</v>
      </c>
      <c r="B170" s="3" t="str">
        <f t="shared" si="3"/>
        <v>B231</v>
      </c>
      <c r="C170" s="13" t="s">
        <v>1105</v>
      </c>
      <c r="D170" s="13" t="s">
        <v>1706</v>
      </c>
      <c r="E170" s="13" t="s">
        <v>1106</v>
      </c>
      <c r="F170" s="13" t="s">
        <v>207</v>
      </c>
      <c r="G170" s="13" t="s">
        <v>13</v>
      </c>
      <c r="H170" s="13">
        <v>0</v>
      </c>
      <c r="I170" s="13">
        <v>1</v>
      </c>
      <c r="J170" s="13" t="s">
        <v>16</v>
      </c>
      <c r="K170" s="13"/>
      <c r="L170" s="18" t="s">
        <v>2246</v>
      </c>
    </row>
    <row r="171" spans="1:12" ht="21" x14ac:dyDescent="0.15">
      <c r="A171" s="13">
        <v>232</v>
      </c>
      <c r="B171" s="3" t="str">
        <f t="shared" si="3"/>
        <v>B232</v>
      </c>
      <c r="C171" s="13" t="s">
        <v>1107</v>
      </c>
      <c r="D171" s="13" t="s">
        <v>1707</v>
      </c>
      <c r="E171" s="13" t="s">
        <v>1108</v>
      </c>
      <c r="F171" s="13" t="s">
        <v>207</v>
      </c>
      <c r="G171" s="13" t="s">
        <v>13</v>
      </c>
      <c r="H171" s="13">
        <v>0</v>
      </c>
      <c r="I171" s="13">
        <v>1</v>
      </c>
      <c r="J171" s="13" t="s">
        <v>16</v>
      </c>
      <c r="K171" s="13"/>
      <c r="L171" s="18" t="s">
        <v>2246</v>
      </c>
    </row>
    <row r="172" spans="1:12" ht="21" x14ac:dyDescent="0.15">
      <c r="A172" s="13">
        <v>233</v>
      </c>
      <c r="B172" s="3" t="str">
        <f t="shared" si="3"/>
        <v>B233</v>
      </c>
      <c r="C172" s="13" t="s">
        <v>1109</v>
      </c>
      <c r="D172" s="13" t="s">
        <v>1708</v>
      </c>
      <c r="E172" s="13" t="s">
        <v>1110</v>
      </c>
      <c r="F172" s="13" t="s">
        <v>207</v>
      </c>
      <c r="G172" s="13" t="s">
        <v>13</v>
      </c>
      <c r="H172" s="13">
        <v>0</v>
      </c>
      <c r="I172" s="13">
        <v>1</v>
      </c>
      <c r="J172" s="13" t="s">
        <v>16</v>
      </c>
      <c r="K172" s="13"/>
      <c r="L172" s="18" t="s">
        <v>2246</v>
      </c>
    </row>
    <row r="173" spans="1:12" ht="21" x14ac:dyDescent="0.15">
      <c r="A173" s="13">
        <v>234</v>
      </c>
      <c r="B173" s="3" t="str">
        <f t="shared" si="3"/>
        <v>B234</v>
      </c>
      <c r="C173" s="13" t="s">
        <v>1111</v>
      </c>
      <c r="D173" s="13" t="s">
        <v>1709</v>
      </c>
      <c r="E173" s="13" t="s">
        <v>1112</v>
      </c>
      <c r="F173" s="13" t="s">
        <v>207</v>
      </c>
      <c r="G173" s="13" t="s">
        <v>13</v>
      </c>
      <c r="H173" s="13">
        <v>0</v>
      </c>
      <c r="I173" s="13">
        <v>1</v>
      </c>
      <c r="J173" s="13" t="s">
        <v>16</v>
      </c>
      <c r="K173" s="13"/>
      <c r="L173" s="18" t="s">
        <v>2246</v>
      </c>
    </row>
    <row r="174" spans="1:12" ht="21" x14ac:dyDescent="0.15">
      <c r="A174" s="13">
        <v>235</v>
      </c>
      <c r="B174" s="3" t="str">
        <f t="shared" si="3"/>
        <v>B235</v>
      </c>
      <c r="C174" s="13" t="s">
        <v>1113</v>
      </c>
      <c r="D174" s="13" t="s">
        <v>2376</v>
      </c>
      <c r="E174" s="13" t="s">
        <v>2377</v>
      </c>
      <c r="F174" s="13" t="s">
        <v>0</v>
      </c>
      <c r="G174" s="13" t="s">
        <v>13</v>
      </c>
      <c r="H174" s="13">
        <v>0</v>
      </c>
      <c r="I174" s="13">
        <v>1</v>
      </c>
      <c r="J174" s="13" t="s">
        <v>16</v>
      </c>
      <c r="K174" s="13"/>
      <c r="L174" s="18" t="s">
        <v>2246</v>
      </c>
    </row>
    <row r="175" spans="1:12" x14ac:dyDescent="0.15">
      <c r="A175" s="13">
        <v>236</v>
      </c>
      <c r="B175" s="3" t="str">
        <f t="shared" si="3"/>
        <v>B236</v>
      </c>
      <c r="C175" s="13" t="s">
        <v>1114</v>
      </c>
      <c r="D175" s="13" t="s">
        <v>1710</v>
      </c>
      <c r="E175" s="13" t="s">
        <v>1712</v>
      </c>
      <c r="F175" s="13" t="s">
        <v>0</v>
      </c>
      <c r="G175" s="13" t="s">
        <v>13</v>
      </c>
      <c r="H175" s="13">
        <v>0</v>
      </c>
      <c r="I175" s="13">
        <v>1</v>
      </c>
      <c r="J175" s="13" t="s">
        <v>11</v>
      </c>
      <c r="K175" s="13"/>
      <c r="L175" s="18" t="s">
        <v>2246</v>
      </c>
    </row>
    <row r="176" spans="1:12" ht="21" x14ac:dyDescent="0.15">
      <c r="A176" s="13">
        <v>237</v>
      </c>
      <c r="B176" s="3" t="str">
        <f t="shared" si="3"/>
        <v>B237</v>
      </c>
      <c r="C176" s="13" t="s">
        <v>1115</v>
      </c>
      <c r="D176" s="27" t="s">
        <v>2371</v>
      </c>
      <c r="E176" s="13" t="s">
        <v>2372</v>
      </c>
      <c r="F176" s="13" t="s">
        <v>0</v>
      </c>
      <c r="G176" s="13" t="s">
        <v>13</v>
      </c>
      <c r="H176" s="13">
        <v>0</v>
      </c>
      <c r="I176" s="13">
        <v>1</v>
      </c>
      <c r="J176" s="13" t="s">
        <v>11</v>
      </c>
      <c r="K176" s="13"/>
      <c r="L176" s="18" t="s">
        <v>2246</v>
      </c>
    </row>
    <row r="177" spans="1:12" x14ac:dyDescent="0.15">
      <c r="A177" s="13">
        <v>238</v>
      </c>
      <c r="B177" s="3" t="str">
        <f t="shared" si="3"/>
        <v>B238</v>
      </c>
      <c r="C177" s="13" t="s">
        <v>1116</v>
      </c>
      <c r="D177" s="13" t="s">
        <v>1711</v>
      </c>
      <c r="E177" s="13" t="s">
        <v>1713</v>
      </c>
      <c r="F177" s="13" t="s">
        <v>0</v>
      </c>
      <c r="G177" s="13" t="s">
        <v>13</v>
      </c>
      <c r="H177" s="13">
        <v>0</v>
      </c>
      <c r="I177" s="13">
        <v>1</v>
      </c>
      <c r="J177" s="13" t="s">
        <v>11</v>
      </c>
      <c r="K177" s="13"/>
      <c r="L177" s="18" t="s">
        <v>2246</v>
      </c>
    </row>
    <row r="178" spans="1:12" ht="21" x14ac:dyDescent="0.15">
      <c r="A178" s="13">
        <v>239</v>
      </c>
      <c r="B178" s="3" t="str">
        <f t="shared" si="3"/>
        <v>B239</v>
      </c>
      <c r="C178" s="13" t="s">
        <v>1117</v>
      </c>
      <c r="D178" s="27" t="s">
        <v>2374</v>
      </c>
      <c r="E178" s="13" t="s">
        <v>2375</v>
      </c>
      <c r="F178" s="13" t="s">
        <v>0</v>
      </c>
      <c r="G178" s="13" t="s">
        <v>13</v>
      </c>
      <c r="H178" s="13">
        <v>0</v>
      </c>
      <c r="I178" s="13">
        <v>1</v>
      </c>
      <c r="J178" s="13" t="s">
        <v>11</v>
      </c>
      <c r="K178" s="13"/>
      <c r="L178" s="18" t="s">
        <v>2246</v>
      </c>
    </row>
    <row r="179" spans="1:12" x14ac:dyDescent="0.15">
      <c r="A179" s="13">
        <v>240</v>
      </c>
      <c r="B179" s="3" t="str">
        <f t="shared" si="3"/>
        <v>B240</v>
      </c>
      <c r="C179" s="13" t="s">
        <v>1118</v>
      </c>
      <c r="D179" s="13" t="s">
        <v>1714</v>
      </c>
      <c r="E179" s="13" t="s">
        <v>1715</v>
      </c>
      <c r="F179" s="13" t="s">
        <v>0</v>
      </c>
      <c r="G179" s="13" t="s">
        <v>13</v>
      </c>
      <c r="H179" s="13">
        <v>0</v>
      </c>
      <c r="I179" s="13">
        <v>1</v>
      </c>
      <c r="J179" s="13" t="s">
        <v>16</v>
      </c>
      <c r="K179" s="13"/>
      <c r="L179" s="18" t="s">
        <v>2246</v>
      </c>
    </row>
    <row r="180" spans="1:12" x14ac:dyDescent="0.15">
      <c r="A180" s="13">
        <v>241</v>
      </c>
      <c r="B180" s="3" t="str">
        <f t="shared" si="3"/>
        <v>B241</v>
      </c>
      <c r="C180" s="13" t="s">
        <v>1119</v>
      </c>
      <c r="D180" s="13" t="s">
        <v>1120</v>
      </c>
      <c r="E180" s="13" t="s">
        <v>1716</v>
      </c>
      <c r="F180" s="13" t="s">
        <v>0</v>
      </c>
      <c r="G180" s="13" t="s">
        <v>13</v>
      </c>
      <c r="H180" s="13">
        <v>0</v>
      </c>
      <c r="I180" s="13">
        <v>1</v>
      </c>
      <c r="J180" s="13" t="s">
        <v>16</v>
      </c>
      <c r="K180" s="13"/>
      <c r="L180" s="18" t="s">
        <v>2246</v>
      </c>
    </row>
    <row r="181" spans="1:12" x14ac:dyDescent="0.15">
      <c r="A181" s="13">
        <v>242</v>
      </c>
      <c r="B181" s="3" t="str">
        <f t="shared" si="3"/>
        <v>B242</v>
      </c>
      <c r="C181" s="13" t="s">
        <v>1121</v>
      </c>
      <c r="D181" s="13" t="s">
        <v>1122</v>
      </c>
      <c r="E181" s="13" t="s">
        <v>1717</v>
      </c>
      <c r="F181" s="13" t="s">
        <v>0</v>
      </c>
      <c r="G181" s="13" t="s">
        <v>13</v>
      </c>
      <c r="H181" s="13">
        <v>0</v>
      </c>
      <c r="I181" s="13">
        <v>1</v>
      </c>
      <c r="J181" s="13" t="s">
        <v>16</v>
      </c>
      <c r="K181" s="13"/>
      <c r="L181" s="18" t="s">
        <v>2246</v>
      </c>
    </row>
    <row r="182" spans="1:12" x14ac:dyDescent="0.15">
      <c r="A182" s="13">
        <v>243</v>
      </c>
      <c r="B182" s="3" t="str">
        <f t="shared" si="3"/>
        <v>B243</v>
      </c>
      <c r="C182" s="13" t="s">
        <v>1123</v>
      </c>
      <c r="D182" s="13" t="s">
        <v>1124</v>
      </c>
      <c r="E182" s="13" t="s">
        <v>1619</v>
      </c>
      <c r="F182" s="13" t="s">
        <v>0</v>
      </c>
      <c r="G182" s="13" t="s">
        <v>13</v>
      </c>
      <c r="H182" s="13">
        <v>0</v>
      </c>
      <c r="I182" s="13">
        <v>1</v>
      </c>
      <c r="J182" s="13" t="s">
        <v>11</v>
      </c>
      <c r="K182" s="13"/>
      <c r="L182" s="18" t="s">
        <v>2246</v>
      </c>
    </row>
    <row r="183" spans="1:12" x14ac:dyDescent="0.15">
      <c r="A183" s="13">
        <v>244</v>
      </c>
      <c r="B183" s="3" t="str">
        <f t="shared" si="3"/>
        <v>B244</v>
      </c>
      <c r="C183" s="13" t="s">
        <v>1125</v>
      </c>
      <c r="D183" s="13" t="s">
        <v>1126</v>
      </c>
      <c r="E183" s="13" t="s">
        <v>1620</v>
      </c>
      <c r="F183" s="13" t="s">
        <v>0</v>
      </c>
      <c r="G183" s="13" t="s">
        <v>13</v>
      </c>
      <c r="H183" s="13">
        <v>0</v>
      </c>
      <c r="I183" s="13">
        <v>1</v>
      </c>
      <c r="J183" s="13" t="s">
        <v>11</v>
      </c>
      <c r="K183" s="13"/>
      <c r="L183" s="18" t="s">
        <v>2246</v>
      </c>
    </row>
    <row r="184" spans="1:12" ht="21" x14ac:dyDescent="0.15">
      <c r="A184" s="13">
        <v>245</v>
      </c>
      <c r="B184" s="3" t="str">
        <f t="shared" si="3"/>
        <v>B245</v>
      </c>
      <c r="C184" s="13" t="s">
        <v>1127</v>
      </c>
      <c r="D184" s="13" t="s">
        <v>1128</v>
      </c>
      <c r="E184" s="13" t="s">
        <v>1718</v>
      </c>
      <c r="F184" s="13" t="s">
        <v>0</v>
      </c>
      <c r="G184" s="13" t="s">
        <v>13</v>
      </c>
      <c r="H184" s="13">
        <v>0</v>
      </c>
      <c r="I184" s="13">
        <v>1</v>
      </c>
      <c r="J184" s="13" t="s">
        <v>11</v>
      </c>
      <c r="K184" s="13"/>
      <c r="L184" s="18" t="s">
        <v>2246</v>
      </c>
    </row>
    <row r="185" spans="1:12" x14ac:dyDescent="0.15">
      <c r="A185" s="13">
        <v>246</v>
      </c>
      <c r="B185" s="3" t="str">
        <f t="shared" si="3"/>
        <v>B246</v>
      </c>
      <c r="C185" s="13" t="s">
        <v>1129</v>
      </c>
      <c r="D185" s="13" t="s">
        <v>1130</v>
      </c>
      <c r="E185" s="13" t="s">
        <v>1610</v>
      </c>
      <c r="F185" s="13" t="s">
        <v>0</v>
      </c>
      <c r="G185" s="13" t="s">
        <v>13</v>
      </c>
      <c r="H185" s="13">
        <v>0</v>
      </c>
      <c r="I185" s="13">
        <v>1</v>
      </c>
      <c r="J185" s="13" t="s">
        <v>11</v>
      </c>
      <c r="K185" s="13"/>
      <c r="L185" s="18" t="s">
        <v>2246</v>
      </c>
    </row>
    <row r="186" spans="1:12" x14ac:dyDescent="0.15">
      <c r="A186" s="13">
        <v>247</v>
      </c>
      <c r="B186" s="3" t="str">
        <f t="shared" si="3"/>
        <v>B247</v>
      </c>
      <c r="C186" s="13" t="s">
        <v>1131</v>
      </c>
      <c r="D186" s="13" t="s">
        <v>1132</v>
      </c>
      <c r="E186" s="13" t="s">
        <v>1719</v>
      </c>
      <c r="F186" s="13" t="s">
        <v>0</v>
      </c>
      <c r="G186" s="13" t="s">
        <v>13</v>
      </c>
      <c r="H186" s="13">
        <v>0</v>
      </c>
      <c r="I186" s="13">
        <v>1</v>
      </c>
      <c r="J186" s="13" t="s">
        <v>11</v>
      </c>
      <c r="K186" s="13"/>
      <c r="L186" s="18" t="s">
        <v>2246</v>
      </c>
    </row>
    <row r="187" spans="1:12" ht="21" x14ac:dyDescent="0.15">
      <c r="A187" s="13">
        <v>264</v>
      </c>
      <c r="B187" s="3" t="str">
        <f t="shared" ref="B187:B209" si="4">"B"&amp;A187</f>
        <v>B264</v>
      </c>
      <c r="C187" s="13" t="s">
        <v>1133</v>
      </c>
      <c r="D187" s="13" t="s">
        <v>1134</v>
      </c>
      <c r="E187" s="13" t="s">
        <v>1720</v>
      </c>
      <c r="F187" s="13" t="s">
        <v>0</v>
      </c>
      <c r="G187" s="13" t="s">
        <v>13</v>
      </c>
      <c r="H187" s="13">
        <v>0</v>
      </c>
      <c r="I187" s="13">
        <v>1</v>
      </c>
      <c r="J187" s="13" t="s">
        <v>16</v>
      </c>
      <c r="K187" s="13" t="s">
        <v>2311</v>
      </c>
      <c r="L187" s="18" t="s">
        <v>2246</v>
      </c>
    </row>
    <row r="188" spans="1:12" x14ac:dyDescent="0.15">
      <c r="A188" s="13">
        <v>265</v>
      </c>
      <c r="B188" s="3" t="str">
        <f t="shared" si="4"/>
        <v>B265</v>
      </c>
      <c r="C188" s="13" t="s">
        <v>1135</v>
      </c>
      <c r="D188" s="13" t="s">
        <v>1792</v>
      </c>
      <c r="E188" s="13" t="s">
        <v>1660</v>
      </c>
      <c r="F188" s="13" t="s">
        <v>45</v>
      </c>
      <c r="G188" s="13" t="s">
        <v>13</v>
      </c>
      <c r="H188" s="13">
        <v>0</v>
      </c>
      <c r="I188" s="13">
        <v>1</v>
      </c>
      <c r="J188" s="13" t="s">
        <v>11</v>
      </c>
      <c r="K188" s="13"/>
      <c r="L188" s="18" t="s">
        <v>2246</v>
      </c>
    </row>
    <row r="189" spans="1:12" ht="21" x14ac:dyDescent="0.15">
      <c r="A189" s="13">
        <v>266</v>
      </c>
      <c r="B189" s="3" t="str">
        <f t="shared" si="4"/>
        <v>B266</v>
      </c>
      <c r="C189" s="13" t="s">
        <v>1136</v>
      </c>
      <c r="D189" s="13" t="s">
        <v>1793</v>
      </c>
      <c r="E189" s="13" t="s">
        <v>1661</v>
      </c>
      <c r="F189" s="13" t="s">
        <v>45</v>
      </c>
      <c r="G189" s="13" t="s">
        <v>13</v>
      </c>
      <c r="H189" s="13">
        <v>0</v>
      </c>
      <c r="I189" s="13">
        <v>1</v>
      </c>
      <c r="J189" s="13" t="s">
        <v>11</v>
      </c>
      <c r="K189" s="13"/>
      <c r="L189" s="18" t="s">
        <v>2246</v>
      </c>
    </row>
    <row r="190" spans="1:12" x14ac:dyDescent="0.15">
      <c r="A190" s="13">
        <v>267</v>
      </c>
      <c r="B190" s="3" t="str">
        <f t="shared" si="4"/>
        <v>B267</v>
      </c>
      <c r="C190" s="13" t="s">
        <v>1137</v>
      </c>
      <c r="D190" s="13" t="s">
        <v>1794</v>
      </c>
      <c r="E190" s="13" t="s">
        <v>1655</v>
      </c>
      <c r="F190" s="13" t="s">
        <v>45</v>
      </c>
      <c r="G190" s="13" t="s">
        <v>13</v>
      </c>
      <c r="H190" s="13">
        <v>0</v>
      </c>
      <c r="I190" s="13">
        <v>1</v>
      </c>
      <c r="J190" s="13" t="s">
        <v>11</v>
      </c>
      <c r="K190" s="13"/>
      <c r="L190" s="18" t="s">
        <v>2246</v>
      </c>
    </row>
    <row r="191" spans="1:12" ht="21" x14ac:dyDescent="0.15">
      <c r="A191" s="13">
        <v>268</v>
      </c>
      <c r="B191" s="3" t="str">
        <f t="shared" si="4"/>
        <v>B268</v>
      </c>
      <c r="C191" s="13" t="s">
        <v>1138</v>
      </c>
      <c r="D191" s="13" t="s">
        <v>1795</v>
      </c>
      <c r="E191" s="13" t="s">
        <v>1662</v>
      </c>
      <c r="F191" s="13" t="s">
        <v>45</v>
      </c>
      <c r="G191" s="13" t="s">
        <v>13</v>
      </c>
      <c r="H191" s="13">
        <v>0</v>
      </c>
      <c r="I191" s="13">
        <v>1</v>
      </c>
      <c r="J191" s="13" t="s">
        <v>11</v>
      </c>
      <c r="K191" s="13"/>
      <c r="L191" s="18" t="s">
        <v>2246</v>
      </c>
    </row>
    <row r="192" spans="1:12" x14ac:dyDescent="0.15">
      <c r="A192" s="13">
        <v>269</v>
      </c>
      <c r="B192" s="3" t="str">
        <f t="shared" si="4"/>
        <v>B269</v>
      </c>
      <c r="C192" s="13" t="s">
        <v>1139</v>
      </c>
      <c r="D192" s="13" t="s">
        <v>1796</v>
      </c>
      <c r="E192" s="13" t="s">
        <v>1657</v>
      </c>
      <c r="F192" s="13" t="s">
        <v>45</v>
      </c>
      <c r="G192" s="13" t="s">
        <v>13</v>
      </c>
      <c r="H192" s="13">
        <v>0</v>
      </c>
      <c r="I192" s="13">
        <v>1</v>
      </c>
      <c r="J192" s="13" t="s">
        <v>11</v>
      </c>
      <c r="K192" s="13"/>
      <c r="L192" s="18" t="s">
        <v>2246</v>
      </c>
    </row>
    <row r="193" spans="1:12" ht="21" x14ac:dyDescent="0.15">
      <c r="A193" s="13">
        <v>270</v>
      </c>
      <c r="B193" s="3" t="str">
        <f t="shared" si="4"/>
        <v>B270</v>
      </c>
      <c r="C193" s="13" t="s">
        <v>1140</v>
      </c>
      <c r="D193" s="13" t="s">
        <v>1797</v>
      </c>
      <c r="E193" s="13" t="s">
        <v>1721</v>
      </c>
      <c r="F193" s="13" t="s">
        <v>45</v>
      </c>
      <c r="G193" s="13" t="s">
        <v>13</v>
      </c>
      <c r="H193" s="13">
        <v>0</v>
      </c>
      <c r="I193" s="13">
        <v>1</v>
      </c>
      <c r="J193" s="13" t="s">
        <v>11</v>
      </c>
      <c r="K193" s="13"/>
      <c r="L193" s="18" t="s">
        <v>2246</v>
      </c>
    </row>
    <row r="194" spans="1:12" ht="21" x14ac:dyDescent="0.15">
      <c r="A194" s="13">
        <v>271</v>
      </c>
      <c r="B194" s="3" t="str">
        <f t="shared" si="4"/>
        <v>B271</v>
      </c>
      <c r="C194" s="13" t="s">
        <v>1141</v>
      </c>
      <c r="D194" s="13" t="s">
        <v>1798</v>
      </c>
      <c r="E194" s="13" t="s">
        <v>1663</v>
      </c>
      <c r="F194" s="13" t="s">
        <v>45</v>
      </c>
      <c r="G194" s="13" t="s">
        <v>13</v>
      </c>
      <c r="H194" s="13">
        <v>0</v>
      </c>
      <c r="I194" s="13">
        <v>1</v>
      </c>
      <c r="J194" s="13" t="s">
        <v>11</v>
      </c>
      <c r="K194" s="13"/>
      <c r="L194" s="18" t="s">
        <v>2246</v>
      </c>
    </row>
    <row r="195" spans="1:12" ht="21" x14ac:dyDescent="0.15">
      <c r="A195" s="13">
        <v>272</v>
      </c>
      <c r="B195" s="3" t="str">
        <f t="shared" si="4"/>
        <v>B272</v>
      </c>
      <c r="C195" s="13" t="s">
        <v>1142</v>
      </c>
      <c r="D195" s="13" t="s">
        <v>1799</v>
      </c>
      <c r="E195" s="13" t="s">
        <v>1722</v>
      </c>
      <c r="F195" s="13" t="s">
        <v>45</v>
      </c>
      <c r="G195" s="13" t="s">
        <v>13</v>
      </c>
      <c r="H195" s="13">
        <v>0</v>
      </c>
      <c r="I195" s="13">
        <v>1</v>
      </c>
      <c r="J195" s="13" t="s">
        <v>11</v>
      </c>
      <c r="K195" s="13"/>
      <c r="L195" s="18" t="s">
        <v>2246</v>
      </c>
    </row>
    <row r="196" spans="1:12" ht="21" x14ac:dyDescent="0.15">
      <c r="A196" s="13">
        <v>273</v>
      </c>
      <c r="B196" s="3" t="str">
        <f t="shared" si="4"/>
        <v>B273</v>
      </c>
      <c r="C196" s="13" t="s">
        <v>1143</v>
      </c>
      <c r="D196" s="13" t="s">
        <v>1800</v>
      </c>
      <c r="E196" s="13" t="s">
        <v>1690</v>
      </c>
      <c r="F196" s="13" t="s">
        <v>45</v>
      </c>
      <c r="G196" s="13" t="s">
        <v>13</v>
      </c>
      <c r="H196" s="13">
        <v>0</v>
      </c>
      <c r="I196" s="13">
        <v>1</v>
      </c>
      <c r="J196" s="13" t="s">
        <v>11</v>
      </c>
      <c r="K196" s="13"/>
      <c r="L196" s="18" t="s">
        <v>2246</v>
      </c>
    </row>
    <row r="197" spans="1:12" ht="21" x14ac:dyDescent="0.15">
      <c r="A197" s="13">
        <v>274</v>
      </c>
      <c r="B197" s="3" t="str">
        <f t="shared" si="4"/>
        <v>B274</v>
      </c>
      <c r="C197" s="13" t="s">
        <v>1144</v>
      </c>
      <c r="D197" s="13" t="s">
        <v>1801</v>
      </c>
      <c r="E197" s="13" t="s">
        <v>1723</v>
      </c>
      <c r="F197" s="13" t="s">
        <v>45</v>
      </c>
      <c r="G197" s="13" t="s">
        <v>13</v>
      </c>
      <c r="H197" s="13">
        <v>0</v>
      </c>
      <c r="I197" s="13">
        <v>1</v>
      </c>
      <c r="J197" s="13" t="s">
        <v>11</v>
      </c>
      <c r="K197" s="13"/>
      <c r="L197" s="18" t="s">
        <v>2246</v>
      </c>
    </row>
    <row r="198" spans="1:12" x14ac:dyDescent="0.15">
      <c r="A198" s="13">
        <v>275</v>
      </c>
      <c r="B198" s="3" t="str">
        <f t="shared" si="4"/>
        <v>B275</v>
      </c>
      <c r="C198" s="13" t="s">
        <v>1145</v>
      </c>
      <c r="D198" s="13" t="s">
        <v>1802</v>
      </c>
      <c r="E198" s="13" t="s">
        <v>1146</v>
      </c>
      <c r="F198" s="13" t="s">
        <v>45</v>
      </c>
      <c r="G198" s="13" t="s">
        <v>13</v>
      </c>
      <c r="H198" s="13">
        <v>0</v>
      </c>
      <c r="I198" s="13">
        <v>1</v>
      </c>
      <c r="J198" s="13" t="s">
        <v>11</v>
      </c>
      <c r="K198" s="13"/>
      <c r="L198" s="18" t="s">
        <v>2246</v>
      </c>
    </row>
    <row r="199" spans="1:12" x14ac:dyDescent="0.15">
      <c r="A199" s="13">
        <v>276</v>
      </c>
      <c r="B199" s="3" t="str">
        <f t="shared" si="4"/>
        <v>B276</v>
      </c>
      <c r="C199" s="13" t="s">
        <v>1147</v>
      </c>
      <c r="D199" s="13" t="s">
        <v>1803</v>
      </c>
      <c r="E199" s="13" t="s">
        <v>1148</v>
      </c>
      <c r="F199" s="13" t="s">
        <v>45</v>
      </c>
      <c r="G199" s="13" t="s">
        <v>13</v>
      </c>
      <c r="H199" s="13">
        <v>0</v>
      </c>
      <c r="I199" s="13">
        <v>1</v>
      </c>
      <c r="J199" s="13" t="s">
        <v>11</v>
      </c>
      <c r="K199" s="13"/>
      <c r="L199" s="18" t="s">
        <v>2246</v>
      </c>
    </row>
    <row r="200" spans="1:12" x14ac:dyDescent="0.15">
      <c r="A200" s="13">
        <v>277</v>
      </c>
      <c r="B200" s="3" t="str">
        <f t="shared" si="4"/>
        <v>B277</v>
      </c>
      <c r="C200" s="13" t="s">
        <v>1149</v>
      </c>
      <c r="D200" s="13" t="s">
        <v>1804</v>
      </c>
      <c r="E200" s="13" t="s">
        <v>1656</v>
      </c>
      <c r="F200" s="13" t="s">
        <v>45</v>
      </c>
      <c r="G200" s="13" t="s">
        <v>13</v>
      </c>
      <c r="H200" s="13">
        <v>0</v>
      </c>
      <c r="I200" s="13">
        <v>1</v>
      </c>
      <c r="J200" s="13" t="s">
        <v>11</v>
      </c>
      <c r="K200" s="13"/>
      <c r="L200" s="18" t="s">
        <v>2246</v>
      </c>
    </row>
    <row r="201" spans="1:12" x14ac:dyDescent="0.15">
      <c r="A201" s="13">
        <v>304</v>
      </c>
      <c r="B201" s="3" t="str">
        <f t="shared" si="4"/>
        <v>B304</v>
      </c>
      <c r="C201" s="13" t="s">
        <v>1150</v>
      </c>
      <c r="D201" s="13" t="s">
        <v>1724</v>
      </c>
      <c r="E201" s="13" t="s">
        <v>1151</v>
      </c>
      <c r="F201" s="13" t="s">
        <v>0</v>
      </c>
      <c r="G201" s="13" t="s">
        <v>13</v>
      </c>
      <c r="H201" s="13">
        <v>0</v>
      </c>
      <c r="I201" s="13">
        <v>1</v>
      </c>
      <c r="J201" s="13" t="s">
        <v>11</v>
      </c>
      <c r="K201" s="13"/>
      <c r="L201" s="18" t="s">
        <v>2246</v>
      </c>
    </row>
    <row r="202" spans="1:12" x14ac:dyDescent="0.15">
      <c r="A202" s="13">
        <v>305</v>
      </c>
      <c r="B202" s="3" t="str">
        <f t="shared" si="4"/>
        <v>B305</v>
      </c>
      <c r="C202" s="13" t="s">
        <v>1152</v>
      </c>
      <c r="D202" s="13" t="s">
        <v>1725</v>
      </c>
      <c r="E202" s="13" t="s">
        <v>1153</v>
      </c>
      <c r="F202" s="13" t="s">
        <v>0</v>
      </c>
      <c r="G202" s="13" t="s">
        <v>13</v>
      </c>
      <c r="H202" s="13">
        <v>0</v>
      </c>
      <c r="I202" s="13">
        <v>1</v>
      </c>
      <c r="J202" s="13" t="s">
        <v>11</v>
      </c>
      <c r="K202" s="13"/>
      <c r="L202" s="18" t="s">
        <v>2246</v>
      </c>
    </row>
    <row r="203" spans="1:12" ht="21" x14ac:dyDescent="0.15">
      <c r="A203" s="13">
        <v>306</v>
      </c>
      <c r="B203" s="3" t="str">
        <f t="shared" si="4"/>
        <v>B306</v>
      </c>
      <c r="C203" s="13" t="s">
        <v>1154</v>
      </c>
      <c r="D203" s="13" t="s">
        <v>1727</v>
      </c>
      <c r="E203" s="13" t="s">
        <v>1726</v>
      </c>
      <c r="F203" s="13" t="s">
        <v>0</v>
      </c>
      <c r="G203" s="13" t="s">
        <v>13</v>
      </c>
      <c r="H203" s="13">
        <v>0</v>
      </c>
      <c r="I203" s="13">
        <v>1</v>
      </c>
      <c r="J203" s="13" t="s">
        <v>11</v>
      </c>
      <c r="K203" s="13"/>
      <c r="L203" s="18" t="s">
        <v>2246</v>
      </c>
    </row>
    <row r="204" spans="1:12" ht="21" x14ac:dyDescent="0.15">
      <c r="A204" s="13">
        <v>307</v>
      </c>
      <c r="B204" s="3" t="str">
        <f t="shared" si="4"/>
        <v>B307</v>
      </c>
      <c r="C204" s="13" t="s">
        <v>1155</v>
      </c>
      <c r="D204" s="13" t="s">
        <v>1156</v>
      </c>
      <c r="E204" s="13" t="s">
        <v>1728</v>
      </c>
      <c r="F204" s="13" t="s">
        <v>0</v>
      </c>
      <c r="G204" s="13" t="s">
        <v>13</v>
      </c>
      <c r="H204" s="13">
        <v>0</v>
      </c>
      <c r="I204" s="13">
        <v>1</v>
      </c>
      <c r="J204" s="13" t="s">
        <v>11</v>
      </c>
      <c r="K204" s="13"/>
      <c r="L204" s="18" t="s">
        <v>2246</v>
      </c>
    </row>
    <row r="205" spans="1:12" ht="31.5" x14ac:dyDescent="0.15">
      <c r="A205" s="13">
        <v>311</v>
      </c>
      <c r="B205" s="3" t="str">
        <f t="shared" si="4"/>
        <v>B311</v>
      </c>
      <c r="C205" s="13" t="s">
        <v>1157</v>
      </c>
      <c r="D205" s="13" t="s">
        <v>1730</v>
      </c>
      <c r="E205" s="13" t="s">
        <v>1729</v>
      </c>
      <c r="F205" s="13" t="s">
        <v>0</v>
      </c>
      <c r="G205" s="13" t="s">
        <v>13</v>
      </c>
      <c r="H205" s="13">
        <v>0</v>
      </c>
      <c r="I205" s="13">
        <v>1</v>
      </c>
      <c r="J205" s="13" t="s">
        <v>11</v>
      </c>
      <c r="K205" s="13"/>
      <c r="L205" s="18" t="s">
        <v>2246</v>
      </c>
    </row>
    <row r="206" spans="1:12" ht="21" x14ac:dyDescent="0.15">
      <c r="A206" s="13">
        <v>312</v>
      </c>
      <c r="B206" s="3" t="str">
        <f t="shared" si="4"/>
        <v>B312</v>
      </c>
      <c r="C206" s="13" t="s">
        <v>1158</v>
      </c>
      <c r="D206" s="13" t="s">
        <v>1731</v>
      </c>
      <c r="E206" s="13" t="s">
        <v>1159</v>
      </c>
      <c r="F206" s="13" t="s">
        <v>0</v>
      </c>
      <c r="G206" s="13" t="s">
        <v>13</v>
      </c>
      <c r="H206" s="13">
        <v>0</v>
      </c>
      <c r="I206" s="13">
        <v>1</v>
      </c>
      <c r="J206" s="13" t="s">
        <v>11</v>
      </c>
      <c r="K206" s="13"/>
      <c r="L206" s="18" t="s">
        <v>2246</v>
      </c>
    </row>
    <row r="207" spans="1:12" ht="21" x14ac:dyDescent="0.15">
      <c r="A207" s="13">
        <v>313</v>
      </c>
      <c r="B207" s="3" t="str">
        <f t="shared" si="4"/>
        <v>B313</v>
      </c>
      <c r="C207" s="13" t="s">
        <v>1160</v>
      </c>
      <c r="D207" s="13" t="s">
        <v>1732</v>
      </c>
      <c r="E207" s="13" t="s">
        <v>1161</v>
      </c>
      <c r="F207" s="13" t="s">
        <v>0</v>
      </c>
      <c r="G207" s="13" t="s">
        <v>13</v>
      </c>
      <c r="H207" s="13">
        <v>0</v>
      </c>
      <c r="I207" s="13">
        <v>1</v>
      </c>
      <c r="J207" s="13" t="s">
        <v>11</v>
      </c>
      <c r="K207" s="13"/>
      <c r="L207" s="18" t="s">
        <v>2246</v>
      </c>
    </row>
    <row r="208" spans="1:12" ht="21" x14ac:dyDescent="0.15">
      <c r="A208" s="13">
        <v>314</v>
      </c>
      <c r="B208" s="3" t="str">
        <f t="shared" si="4"/>
        <v>B314</v>
      </c>
      <c r="C208" s="13" t="s">
        <v>1162</v>
      </c>
      <c r="D208" s="13" t="s">
        <v>1733</v>
      </c>
      <c r="E208" s="13" t="s">
        <v>1163</v>
      </c>
      <c r="F208" s="13" t="s">
        <v>0</v>
      </c>
      <c r="G208" s="13" t="s">
        <v>13</v>
      </c>
      <c r="H208" s="13">
        <v>0</v>
      </c>
      <c r="I208" s="13">
        <v>1</v>
      </c>
      <c r="J208" s="13" t="s">
        <v>11</v>
      </c>
      <c r="K208" s="13"/>
      <c r="L208" s="18" t="s">
        <v>2246</v>
      </c>
    </row>
    <row r="209" spans="1:13" ht="21" x14ac:dyDescent="0.15">
      <c r="A209" s="13">
        <v>315</v>
      </c>
      <c r="B209" s="3" t="str">
        <f t="shared" si="4"/>
        <v>B315</v>
      </c>
      <c r="C209" s="13" t="s">
        <v>1164</v>
      </c>
      <c r="D209" s="13" t="s">
        <v>1734</v>
      </c>
      <c r="E209" s="13" t="s">
        <v>1165</v>
      </c>
      <c r="F209" s="13" t="s">
        <v>0</v>
      </c>
      <c r="G209" s="13" t="s">
        <v>13</v>
      </c>
      <c r="H209" s="13">
        <v>0</v>
      </c>
      <c r="I209" s="13">
        <v>1</v>
      </c>
      <c r="J209" s="13" t="s">
        <v>11</v>
      </c>
      <c r="K209" s="13"/>
      <c r="L209" s="18" t="s">
        <v>2246</v>
      </c>
    </row>
    <row r="210" spans="1:13" ht="21" x14ac:dyDescent="0.15">
      <c r="A210" s="27">
        <v>335</v>
      </c>
      <c r="B210" s="28" t="str">
        <f t="shared" ref="B210:B229" si="5">"B"&amp;A210</f>
        <v>B335</v>
      </c>
      <c r="C210" s="27" t="s">
        <v>1166</v>
      </c>
      <c r="D210" s="27" t="s">
        <v>2378</v>
      </c>
      <c r="E210" s="27" t="s">
        <v>2379</v>
      </c>
      <c r="F210" s="27" t="s">
        <v>0</v>
      </c>
      <c r="G210" s="27" t="s">
        <v>13</v>
      </c>
      <c r="H210" s="27">
        <v>0</v>
      </c>
      <c r="I210" s="27">
        <v>1</v>
      </c>
      <c r="J210" s="27" t="s">
        <v>11</v>
      </c>
      <c r="K210" s="27"/>
      <c r="L210" s="18" t="s">
        <v>2246</v>
      </c>
      <c r="M210" s="29"/>
    </row>
    <row r="211" spans="1:13" ht="21" x14ac:dyDescent="0.15">
      <c r="A211" s="13">
        <v>337</v>
      </c>
      <c r="B211" s="3" t="str">
        <f t="shared" si="5"/>
        <v>B337</v>
      </c>
      <c r="C211" s="13" t="s">
        <v>1167</v>
      </c>
      <c r="D211" s="13" t="s">
        <v>2241</v>
      </c>
      <c r="E211" s="13" t="s">
        <v>2243</v>
      </c>
      <c r="F211" s="13" t="s">
        <v>45</v>
      </c>
      <c r="G211" s="13" t="s">
        <v>13</v>
      </c>
      <c r="H211" s="13">
        <v>0</v>
      </c>
      <c r="I211" s="13">
        <v>1</v>
      </c>
      <c r="J211" s="13" t="s">
        <v>11</v>
      </c>
      <c r="K211" s="13"/>
      <c r="L211" s="18" t="s">
        <v>2246</v>
      </c>
    </row>
    <row r="212" spans="1:13" ht="21" x14ac:dyDescent="0.15">
      <c r="A212" s="13">
        <v>338</v>
      </c>
      <c r="B212" s="3" t="str">
        <f t="shared" si="5"/>
        <v>B338</v>
      </c>
      <c r="C212" s="13" t="s">
        <v>1168</v>
      </c>
      <c r="D212" s="13" t="s">
        <v>2242</v>
      </c>
      <c r="E212" s="13" t="s">
        <v>2244</v>
      </c>
      <c r="F212" s="13" t="s">
        <v>45</v>
      </c>
      <c r="G212" s="13" t="s">
        <v>13</v>
      </c>
      <c r="H212" s="13">
        <v>0</v>
      </c>
      <c r="I212" s="13">
        <v>1</v>
      </c>
      <c r="J212" s="13" t="s">
        <v>11</v>
      </c>
      <c r="K212" s="13"/>
      <c r="L212" s="18" t="s">
        <v>2246</v>
      </c>
    </row>
    <row r="213" spans="1:13" ht="21" x14ac:dyDescent="0.15">
      <c r="A213" s="13">
        <v>340</v>
      </c>
      <c r="B213" s="3" t="str">
        <f t="shared" si="5"/>
        <v>B340</v>
      </c>
      <c r="C213" s="13" t="s">
        <v>1169</v>
      </c>
      <c r="D213" s="27" t="s">
        <v>2380</v>
      </c>
      <c r="E213" s="13" t="s">
        <v>2381</v>
      </c>
      <c r="F213" s="13" t="s">
        <v>0</v>
      </c>
      <c r="G213" s="13" t="s">
        <v>13</v>
      </c>
      <c r="H213" s="13">
        <v>0</v>
      </c>
      <c r="I213" s="13">
        <v>1</v>
      </c>
      <c r="J213" s="13" t="s">
        <v>11</v>
      </c>
      <c r="K213" s="13"/>
      <c r="L213" s="18" t="s">
        <v>2246</v>
      </c>
    </row>
    <row r="214" spans="1:13" x14ac:dyDescent="0.15">
      <c r="A214" s="13">
        <v>343</v>
      </c>
      <c r="B214" s="3" t="str">
        <f t="shared" si="5"/>
        <v>B343</v>
      </c>
      <c r="C214" s="13" t="s">
        <v>1170</v>
      </c>
      <c r="D214" s="13" t="s">
        <v>1735</v>
      </c>
      <c r="E214" s="13" t="s">
        <v>1081</v>
      </c>
      <c r="F214" s="13" t="s">
        <v>0</v>
      </c>
      <c r="G214" s="13" t="s">
        <v>13</v>
      </c>
      <c r="H214" s="13">
        <v>0</v>
      </c>
      <c r="I214" s="13">
        <v>1</v>
      </c>
      <c r="J214" s="13" t="s">
        <v>11</v>
      </c>
      <c r="K214" s="13"/>
      <c r="L214" s="18" t="s">
        <v>2246</v>
      </c>
    </row>
    <row r="215" spans="1:13" x14ac:dyDescent="0.15">
      <c r="A215" s="13">
        <v>344</v>
      </c>
      <c r="B215" s="3" t="str">
        <f t="shared" si="5"/>
        <v>B344</v>
      </c>
      <c r="C215" s="13" t="s">
        <v>1171</v>
      </c>
      <c r="D215" s="13" t="s">
        <v>1736</v>
      </c>
      <c r="E215" s="13" t="s">
        <v>1086</v>
      </c>
      <c r="F215" s="13" t="s">
        <v>0</v>
      </c>
      <c r="G215" s="13" t="s">
        <v>13</v>
      </c>
      <c r="H215" s="13">
        <v>0</v>
      </c>
      <c r="I215" s="13">
        <v>1</v>
      </c>
      <c r="J215" s="13" t="s">
        <v>11</v>
      </c>
      <c r="K215" s="13"/>
      <c r="L215" s="18" t="s">
        <v>2246</v>
      </c>
    </row>
    <row r="216" spans="1:13" x14ac:dyDescent="0.15">
      <c r="A216" s="13">
        <v>345</v>
      </c>
      <c r="B216" s="3" t="str">
        <f t="shared" si="5"/>
        <v>B345</v>
      </c>
      <c r="C216" s="13" t="s">
        <v>1172</v>
      </c>
      <c r="D216" s="13" t="s">
        <v>1737</v>
      </c>
      <c r="E216" s="13" t="s">
        <v>1069</v>
      </c>
      <c r="F216" s="13" t="s">
        <v>45</v>
      </c>
      <c r="G216" s="13" t="s">
        <v>13</v>
      </c>
      <c r="H216" s="13">
        <v>0</v>
      </c>
      <c r="I216" s="13">
        <v>1</v>
      </c>
      <c r="J216" s="13" t="s">
        <v>11</v>
      </c>
      <c r="K216" s="13"/>
      <c r="L216" s="18" t="s">
        <v>2246</v>
      </c>
    </row>
    <row r="217" spans="1:13" x14ac:dyDescent="0.15">
      <c r="A217" s="13">
        <v>346</v>
      </c>
      <c r="B217" s="3" t="str">
        <f t="shared" si="5"/>
        <v>B346</v>
      </c>
      <c r="C217" s="13" t="s">
        <v>1173</v>
      </c>
      <c r="D217" s="13" t="s">
        <v>1737</v>
      </c>
      <c r="E217" s="13" t="s">
        <v>1069</v>
      </c>
      <c r="F217" s="13" t="s">
        <v>45</v>
      </c>
      <c r="G217" s="13" t="s">
        <v>13</v>
      </c>
      <c r="H217" s="13">
        <v>0</v>
      </c>
      <c r="I217" s="13">
        <v>1</v>
      </c>
      <c r="J217" s="13" t="s">
        <v>11</v>
      </c>
      <c r="K217" s="13"/>
      <c r="L217" s="18" t="s">
        <v>2246</v>
      </c>
    </row>
    <row r="218" spans="1:13" ht="31.5" x14ac:dyDescent="0.15">
      <c r="A218" s="13">
        <v>347</v>
      </c>
      <c r="B218" s="3" t="str">
        <f t="shared" si="5"/>
        <v>B347</v>
      </c>
      <c r="C218" s="13" t="s">
        <v>1174</v>
      </c>
      <c r="D218" s="13" t="s">
        <v>2382</v>
      </c>
      <c r="E218" s="13" t="s">
        <v>2383</v>
      </c>
      <c r="F218" s="13" t="s">
        <v>0</v>
      </c>
      <c r="G218" s="13" t="s">
        <v>13</v>
      </c>
      <c r="H218" s="13">
        <v>0</v>
      </c>
      <c r="I218" s="13">
        <v>1</v>
      </c>
      <c r="J218" s="13" t="s">
        <v>11</v>
      </c>
      <c r="K218" s="13"/>
      <c r="L218" s="18" t="s">
        <v>2246</v>
      </c>
    </row>
    <row r="219" spans="1:13" ht="31.5" x14ac:dyDescent="0.15">
      <c r="A219" s="13">
        <v>348</v>
      </c>
      <c r="B219" s="3" t="str">
        <f t="shared" si="5"/>
        <v>B348</v>
      </c>
      <c r="C219" s="13" t="s">
        <v>1175</v>
      </c>
      <c r="D219" s="13" t="s">
        <v>2384</v>
      </c>
      <c r="E219" s="13" t="s">
        <v>2390</v>
      </c>
      <c r="F219" s="13" t="s">
        <v>0</v>
      </c>
      <c r="G219" s="13" t="s">
        <v>13</v>
      </c>
      <c r="H219" s="13">
        <v>0</v>
      </c>
      <c r="I219" s="13">
        <v>1</v>
      </c>
      <c r="J219" s="13" t="s">
        <v>11</v>
      </c>
      <c r="K219" s="13"/>
      <c r="L219" s="18" t="s">
        <v>2246</v>
      </c>
    </row>
    <row r="220" spans="1:13" ht="31.5" x14ac:dyDescent="0.15">
      <c r="A220" s="13">
        <v>349</v>
      </c>
      <c r="B220" s="3" t="str">
        <f t="shared" si="5"/>
        <v>B349</v>
      </c>
      <c r="C220" s="13" t="s">
        <v>1176</v>
      </c>
      <c r="D220" s="13" t="s">
        <v>2385</v>
      </c>
      <c r="E220" s="13" t="s">
        <v>2391</v>
      </c>
      <c r="F220" s="13" t="s">
        <v>0</v>
      </c>
      <c r="G220" s="13" t="s">
        <v>13</v>
      </c>
      <c r="H220" s="13">
        <v>0</v>
      </c>
      <c r="I220" s="13">
        <v>1</v>
      </c>
      <c r="J220" s="13" t="s">
        <v>11</v>
      </c>
      <c r="K220" s="13"/>
      <c r="L220" s="18" t="s">
        <v>2246</v>
      </c>
    </row>
    <row r="221" spans="1:13" ht="31.5" x14ac:dyDescent="0.15">
      <c r="A221" s="13">
        <v>350</v>
      </c>
      <c r="B221" s="3" t="str">
        <f t="shared" si="5"/>
        <v>B350</v>
      </c>
      <c r="C221" s="13" t="s">
        <v>1177</v>
      </c>
      <c r="D221" s="13" t="s">
        <v>2386</v>
      </c>
      <c r="E221" s="13" t="s">
        <v>2389</v>
      </c>
      <c r="F221" s="13" t="s">
        <v>0</v>
      </c>
      <c r="G221" s="13" t="s">
        <v>13</v>
      </c>
      <c r="H221" s="13">
        <v>0</v>
      </c>
      <c r="I221" s="13">
        <v>1</v>
      </c>
      <c r="J221" s="13" t="s">
        <v>11</v>
      </c>
      <c r="K221" s="13"/>
      <c r="L221" s="18" t="s">
        <v>2246</v>
      </c>
    </row>
    <row r="222" spans="1:13" ht="31.5" x14ac:dyDescent="0.15">
      <c r="A222" s="13">
        <v>351</v>
      </c>
      <c r="B222" s="3" t="str">
        <f t="shared" si="5"/>
        <v>B351</v>
      </c>
      <c r="C222" s="13" t="s">
        <v>1178</v>
      </c>
      <c r="D222" s="13" t="s">
        <v>2387</v>
      </c>
      <c r="E222" s="13" t="s">
        <v>2388</v>
      </c>
      <c r="F222" s="13" t="s">
        <v>0</v>
      </c>
      <c r="G222" s="13" t="s">
        <v>13</v>
      </c>
      <c r="H222" s="13">
        <v>0</v>
      </c>
      <c r="I222" s="13">
        <v>1</v>
      </c>
      <c r="J222" s="13" t="s">
        <v>11</v>
      </c>
      <c r="K222" s="13"/>
      <c r="L222" s="18" t="s">
        <v>2246</v>
      </c>
    </row>
    <row r="223" spans="1:13" x14ac:dyDescent="0.15">
      <c r="A223" s="13">
        <v>358</v>
      </c>
      <c r="B223" s="3" t="str">
        <f t="shared" si="5"/>
        <v>B358</v>
      </c>
      <c r="C223" s="13" t="s">
        <v>1179</v>
      </c>
      <c r="D223" s="13" t="s">
        <v>1738</v>
      </c>
      <c r="E223" s="13" t="s">
        <v>1739</v>
      </c>
      <c r="F223" s="13" t="s">
        <v>0</v>
      </c>
      <c r="G223" s="13" t="s">
        <v>13</v>
      </c>
      <c r="H223" s="13">
        <v>0</v>
      </c>
      <c r="I223" s="13">
        <v>1</v>
      </c>
      <c r="J223" s="13" t="s">
        <v>16</v>
      </c>
      <c r="K223" s="13"/>
      <c r="L223" s="18" t="s">
        <v>2246</v>
      </c>
    </row>
    <row r="224" spans="1:13" ht="21" x14ac:dyDescent="0.15">
      <c r="A224" s="13">
        <v>359</v>
      </c>
      <c r="B224" s="3" t="str">
        <f t="shared" si="5"/>
        <v>B359</v>
      </c>
      <c r="C224" s="13" t="s">
        <v>1180</v>
      </c>
      <c r="D224" s="13" t="s">
        <v>1740</v>
      </c>
      <c r="E224" s="13" t="s">
        <v>1181</v>
      </c>
      <c r="F224" s="13" t="s">
        <v>0</v>
      </c>
      <c r="G224" s="13" t="s">
        <v>13</v>
      </c>
      <c r="H224" s="13">
        <v>0</v>
      </c>
      <c r="I224" s="13">
        <v>1</v>
      </c>
      <c r="J224" s="13" t="s">
        <v>16</v>
      </c>
      <c r="K224" s="13"/>
      <c r="L224" s="18" t="s">
        <v>2246</v>
      </c>
    </row>
    <row r="225" spans="1:12" ht="31.5" x14ac:dyDescent="0.15">
      <c r="A225" s="13">
        <v>364</v>
      </c>
      <c r="B225" s="3" t="str">
        <f t="shared" si="5"/>
        <v>B364</v>
      </c>
      <c r="C225" s="13" t="s">
        <v>1182</v>
      </c>
      <c r="D225" s="27" t="s">
        <v>2473</v>
      </c>
      <c r="E225" s="13" t="s">
        <v>2474</v>
      </c>
      <c r="F225" s="13" t="s">
        <v>0</v>
      </c>
      <c r="G225" s="13" t="s">
        <v>13</v>
      </c>
      <c r="H225" s="13">
        <v>0</v>
      </c>
      <c r="I225" s="13">
        <v>1</v>
      </c>
      <c r="J225" s="13" t="s">
        <v>11</v>
      </c>
      <c r="K225" s="13"/>
      <c r="L225" s="18" t="s">
        <v>2246</v>
      </c>
    </row>
    <row r="226" spans="1:12" x14ac:dyDescent="0.15">
      <c r="A226" s="13">
        <v>365</v>
      </c>
      <c r="B226" s="3" t="str">
        <f t="shared" si="5"/>
        <v>B365</v>
      </c>
      <c r="C226" s="13" t="s">
        <v>1183</v>
      </c>
      <c r="D226" s="13" t="s">
        <v>1184</v>
      </c>
      <c r="E226" s="13" t="s">
        <v>1741</v>
      </c>
      <c r="F226" s="13" t="s">
        <v>45</v>
      </c>
      <c r="G226" s="13" t="s">
        <v>13</v>
      </c>
      <c r="H226" s="13">
        <v>0</v>
      </c>
      <c r="I226" s="13">
        <v>1</v>
      </c>
      <c r="J226" s="13" t="s">
        <v>11</v>
      </c>
      <c r="K226" s="13"/>
      <c r="L226" s="18" t="s">
        <v>2246</v>
      </c>
    </row>
    <row r="227" spans="1:12" x14ac:dyDescent="0.15">
      <c r="A227" s="13">
        <v>366</v>
      </c>
      <c r="B227" s="3" t="str">
        <f t="shared" si="5"/>
        <v>B366</v>
      </c>
      <c r="C227" s="13" t="s">
        <v>1185</v>
      </c>
      <c r="D227" s="13" t="s">
        <v>1186</v>
      </c>
      <c r="E227" s="13" t="s">
        <v>1742</v>
      </c>
      <c r="F227" s="13" t="s">
        <v>45</v>
      </c>
      <c r="G227" s="13" t="s">
        <v>13</v>
      </c>
      <c r="H227" s="13">
        <v>0</v>
      </c>
      <c r="I227" s="13">
        <v>1</v>
      </c>
      <c r="J227" s="13" t="s">
        <v>16</v>
      </c>
      <c r="K227" s="13"/>
      <c r="L227" s="18" t="s">
        <v>2246</v>
      </c>
    </row>
    <row r="228" spans="1:12" x14ac:dyDescent="0.15">
      <c r="A228" s="13">
        <v>367</v>
      </c>
      <c r="B228" s="3" t="str">
        <f t="shared" si="5"/>
        <v>B367</v>
      </c>
      <c r="C228" s="13" t="s">
        <v>1187</v>
      </c>
      <c r="D228" s="13" t="s">
        <v>1743</v>
      </c>
      <c r="E228" s="13" t="s">
        <v>1617</v>
      </c>
      <c r="F228" s="13" t="s">
        <v>0</v>
      </c>
      <c r="G228" s="13" t="s">
        <v>13</v>
      </c>
      <c r="H228" s="13">
        <v>0</v>
      </c>
      <c r="I228" s="13">
        <v>1</v>
      </c>
      <c r="J228" s="13" t="s">
        <v>11</v>
      </c>
      <c r="K228" s="13"/>
      <c r="L228" s="18" t="s">
        <v>2246</v>
      </c>
    </row>
    <row r="229" spans="1:12" ht="21" x14ac:dyDescent="0.15">
      <c r="A229" s="13">
        <v>372</v>
      </c>
      <c r="B229" s="3" t="str">
        <f t="shared" si="5"/>
        <v>B372</v>
      </c>
      <c r="C229" s="13" t="s">
        <v>2470</v>
      </c>
      <c r="D229" s="13" t="s">
        <v>2471</v>
      </c>
      <c r="E229" s="13" t="s">
        <v>2472</v>
      </c>
      <c r="F229" s="13" t="s">
        <v>0</v>
      </c>
      <c r="G229" s="13" t="s">
        <v>13</v>
      </c>
      <c r="H229" s="13">
        <v>0</v>
      </c>
      <c r="I229" s="13">
        <v>1</v>
      </c>
      <c r="J229" s="13" t="s">
        <v>11</v>
      </c>
      <c r="K229" s="13"/>
      <c r="L229" s="18" t="s">
        <v>2246</v>
      </c>
    </row>
    <row r="230" spans="1:12" ht="21" x14ac:dyDescent="0.15">
      <c r="A230" s="13">
        <v>390</v>
      </c>
      <c r="B230" s="3" t="str">
        <f t="shared" ref="B230:B268" si="6">"B"&amp;A230</f>
        <v>B390</v>
      </c>
      <c r="C230" s="13" t="s">
        <v>1191</v>
      </c>
      <c r="D230" s="13" t="s">
        <v>1745</v>
      </c>
      <c r="E230" s="13" t="s">
        <v>1746</v>
      </c>
      <c r="F230" s="13" t="s">
        <v>0</v>
      </c>
      <c r="G230" s="13" t="s">
        <v>13</v>
      </c>
      <c r="H230" s="13">
        <v>0</v>
      </c>
      <c r="I230" s="13">
        <v>1</v>
      </c>
      <c r="J230" s="13" t="s">
        <v>11</v>
      </c>
      <c r="K230" s="13"/>
      <c r="L230" s="18" t="s">
        <v>2246</v>
      </c>
    </row>
    <row r="231" spans="1:12" x14ac:dyDescent="0.15">
      <c r="A231" s="13">
        <v>391</v>
      </c>
      <c r="B231" s="3" t="str">
        <f t="shared" si="6"/>
        <v>B391</v>
      </c>
      <c r="C231" s="13" t="s">
        <v>1192</v>
      </c>
      <c r="D231" s="13" t="s">
        <v>1193</v>
      </c>
      <c r="E231" s="13" t="s">
        <v>1193</v>
      </c>
      <c r="F231" s="13" t="s">
        <v>0</v>
      </c>
      <c r="G231" s="13" t="s">
        <v>13</v>
      </c>
      <c r="H231" s="13">
        <v>0</v>
      </c>
      <c r="I231" s="13">
        <v>1</v>
      </c>
      <c r="J231" s="13" t="s">
        <v>11</v>
      </c>
      <c r="K231" s="13"/>
      <c r="L231" s="18" t="s">
        <v>2246</v>
      </c>
    </row>
    <row r="232" spans="1:12" x14ac:dyDescent="0.15">
      <c r="A232" s="13">
        <v>392</v>
      </c>
      <c r="B232" s="3" t="str">
        <f t="shared" si="6"/>
        <v>B392</v>
      </c>
      <c r="C232" s="13" t="s">
        <v>1194</v>
      </c>
      <c r="D232" s="13" t="s">
        <v>1195</v>
      </c>
      <c r="E232" s="13" t="s">
        <v>1195</v>
      </c>
      <c r="F232" s="13" t="s">
        <v>0</v>
      </c>
      <c r="G232" s="13" t="s">
        <v>13</v>
      </c>
      <c r="H232" s="13">
        <v>0</v>
      </c>
      <c r="I232" s="13">
        <v>1</v>
      </c>
      <c r="J232" s="13" t="s">
        <v>11</v>
      </c>
      <c r="K232" s="13"/>
      <c r="L232" s="18" t="s">
        <v>2246</v>
      </c>
    </row>
    <row r="233" spans="1:12" ht="21" x14ac:dyDescent="0.15">
      <c r="A233" s="13">
        <v>393</v>
      </c>
      <c r="B233" s="3" t="str">
        <f t="shared" si="6"/>
        <v>B393</v>
      </c>
      <c r="C233" s="13" t="s">
        <v>1196</v>
      </c>
      <c r="D233" s="13" t="s">
        <v>1197</v>
      </c>
      <c r="E233" s="13" t="s">
        <v>1197</v>
      </c>
      <c r="F233" s="13" t="s">
        <v>0</v>
      </c>
      <c r="G233" s="13" t="s">
        <v>13</v>
      </c>
      <c r="H233" s="13">
        <v>0</v>
      </c>
      <c r="I233" s="13">
        <v>1</v>
      </c>
      <c r="J233" s="13" t="s">
        <v>11</v>
      </c>
      <c r="K233" s="13"/>
      <c r="L233" s="18" t="s">
        <v>2246</v>
      </c>
    </row>
    <row r="234" spans="1:12" ht="21" x14ac:dyDescent="0.15">
      <c r="A234" s="13">
        <v>394</v>
      </c>
      <c r="B234" s="3" t="str">
        <f t="shared" si="6"/>
        <v>B394</v>
      </c>
      <c r="C234" s="13" t="s">
        <v>1198</v>
      </c>
      <c r="D234" s="13" t="s">
        <v>1199</v>
      </c>
      <c r="E234" s="13" t="s">
        <v>1199</v>
      </c>
      <c r="F234" s="13" t="s">
        <v>0</v>
      </c>
      <c r="G234" s="13" t="s">
        <v>13</v>
      </c>
      <c r="H234" s="13">
        <v>0</v>
      </c>
      <c r="I234" s="13">
        <v>1</v>
      </c>
      <c r="J234" s="13" t="s">
        <v>11</v>
      </c>
      <c r="K234" s="13"/>
      <c r="L234" s="18" t="s">
        <v>2246</v>
      </c>
    </row>
    <row r="235" spans="1:12" ht="21" x14ac:dyDescent="0.15">
      <c r="A235" s="13">
        <v>395</v>
      </c>
      <c r="B235" s="3" t="str">
        <f t="shared" si="6"/>
        <v>B395</v>
      </c>
      <c r="C235" s="13" t="s">
        <v>1200</v>
      </c>
      <c r="D235" s="13" t="s">
        <v>1747</v>
      </c>
      <c r="E235" s="13" t="s">
        <v>1751</v>
      </c>
      <c r="F235" s="13" t="s">
        <v>0</v>
      </c>
      <c r="G235" s="13" t="s">
        <v>13</v>
      </c>
      <c r="H235" s="13">
        <v>0</v>
      </c>
      <c r="I235" s="13">
        <v>1</v>
      </c>
      <c r="J235" s="13" t="s">
        <v>11</v>
      </c>
      <c r="K235" s="13"/>
      <c r="L235" s="18" t="s">
        <v>2246</v>
      </c>
    </row>
    <row r="236" spans="1:12" ht="21" x14ac:dyDescent="0.15">
      <c r="A236" s="13">
        <v>396</v>
      </c>
      <c r="B236" s="3" t="str">
        <f t="shared" si="6"/>
        <v>B396</v>
      </c>
      <c r="C236" s="13" t="s">
        <v>1201</v>
      </c>
      <c r="D236" s="13" t="s">
        <v>1748</v>
      </c>
      <c r="E236" s="13" t="s">
        <v>1752</v>
      </c>
      <c r="F236" s="13" t="s">
        <v>0</v>
      </c>
      <c r="G236" s="13" t="s">
        <v>13</v>
      </c>
      <c r="H236" s="13">
        <v>0</v>
      </c>
      <c r="I236" s="13">
        <v>1</v>
      </c>
      <c r="J236" s="13" t="s">
        <v>11</v>
      </c>
      <c r="K236" s="13"/>
      <c r="L236" s="18" t="s">
        <v>2246</v>
      </c>
    </row>
    <row r="237" spans="1:12" ht="21" x14ac:dyDescent="0.15">
      <c r="A237" s="13">
        <v>397</v>
      </c>
      <c r="B237" s="3" t="str">
        <f t="shared" si="6"/>
        <v>B397</v>
      </c>
      <c r="C237" s="13" t="s">
        <v>1202</v>
      </c>
      <c r="D237" s="13" t="s">
        <v>1749</v>
      </c>
      <c r="E237" s="13" t="s">
        <v>1753</v>
      </c>
      <c r="F237" s="13" t="s">
        <v>0</v>
      </c>
      <c r="G237" s="13" t="s">
        <v>13</v>
      </c>
      <c r="H237" s="13">
        <v>0</v>
      </c>
      <c r="I237" s="13">
        <v>1</v>
      </c>
      <c r="J237" s="13" t="s">
        <v>11</v>
      </c>
      <c r="K237" s="13"/>
      <c r="L237" s="18" t="s">
        <v>2246</v>
      </c>
    </row>
    <row r="238" spans="1:12" ht="21" x14ac:dyDescent="0.15">
      <c r="A238" s="13">
        <v>398</v>
      </c>
      <c r="B238" s="3" t="str">
        <f t="shared" si="6"/>
        <v>B398</v>
      </c>
      <c r="C238" s="13" t="s">
        <v>1203</v>
      </c>
      <c r="D238" s="13" t="s">
        <v>1750</v>
      </c>
      <c r="E238" s="13" t="s">
        <v>1754</v>
      </c>
      <c r="F238" s="13" t="s">
        <v>0</v>
      </c>
      <c r="G238" s="13" t="s">
        <v>13</v>
      </c>
      <c r="H238" s="13">
        <v>0</v>
      </c>
      <c r="I238" s="13">
        <v>1</v>
      </c>
      <c r="J238" s="13" t="s">
        <v>11</v>
      </c>
      <c r="K238" s="13"/>
      <c r="L238" s="18" t="s">
        <v>2246</v>
      </c>
    </row>
    <row r="239" spans="1:12" ht="21" x14ac:dyDescent="0.15">
      <c r="A239" s="13">
        <v>399</v>
      </c>
      <c r="B239" s="3" t="str">
        <f t="shared" si="6"/>
        <v>B399</v>
      </c>
      <c r="C239" s="13" t="s">
        <v>1204</v>
      </c>
      <c r="D239" s="13" t="s">
        <v>1755</v>
      </c>
      <c r="E239" s="13" t="s">
        <v>1756</v>
      </c>
      <c r="F239" s="13" t="s">
        <v>0</v>
      </c>
      <c r="G239" s="13" t="s">
        <v>13</v>
      </c>
      <c r="H239" s="13">
        <v>0</v>
      </c>
      <c r="I239" s="13">
        <v>1</v>
      </c>
      <c r="J239" s="13" t="s">
        <v>11</v>
      </c>
      <c r="K239" s="13"/>
      <c r="L239" s="18" t="s">
        <v>2246</v>
      </c>
    </row>
    <row r="240" spans="1:12" ht="21" x14ac:dyDescent="0.15">
      <c r="A240" s="13">
        <v>400</v>
      </c>
      <c r="B240" s="3" t="str">
        <f t="shared" si="6"/>
        <v>B400</v>
      </c>
      <c r="C240" s="13" t="s">
        <v>1205</v>
      </c>
      <c r="D240" s="13" t="s">
        <v>1759</v>
      </c>
      <c r="E240" s="13" t="s">
        <v>1757</v>
      </c>
      <c r="F240" s="13" t="s">
        <v>0</v>
      </c>
      <c r="G240" s="13" t="s">
        <v>13</v>
      </c>
      <c r="H240" s="13">
        <v>0</v>
      </c>
      <c r="I240" s="13">
        <v>1</v>
      </c>
      <c r="J240" s="13" t="s">
        <v>11</v>
      </c>
      <c r="K240" s="13"/>
      <c r="L240" s="18" t="s">
        <v>2246</v>
      </c>
    </row>
    <row r="241" spans="1:12" ht="21" x14ac:dyDescent="0.15">
      <c r="A241" s="13">
        <v>401</v>
      </c>
      <c r="B241" s="3" t="str">
        <f t="shared" si="6"/>
        <v>B401</v>
      </c>
      <c r="C241" s="13" t="s">
        <v>1206</v>
      </c>
      <c r="D241" s="13" t="s">
        <v>1760</v>
      </c>
      <c r="E241" s="13" t="s">
        <v>1207</v>
      </c>
      <c r="F241" s="13" t="s">
        <v>0</v>
      </c>
      <c r="G241" s="13" t="s">
        <v>13</v>
      </c>
      <c r="H241" s="13">
        <v>0</v>
      </c>
      <c r="I241" s="13">
        <v>1</v>
      </c>
      <c r="J241" s="13" t="s">
        <v>11</v>
      </c>
      <c r="K241" s="13"/>
      <c r="L241" s="18" t="s">
        <v>2246</v>
      </c>
    </row>
    <row r="242" spans="1:12" ht="21" x14ac:dyDescent="0.15">
      <c r="A242" s="13">
        <v>402</v>
      </c>
      <c r="B242" s="3" t="str">
        <f t="shared" si="6"/>
        <v>B402</v>
      </c>
      <c r="C242" s="13" t="s">
        <v>1208</v>
      </c>
      <c r="D242" s="13" t="s">
        <v>1762</v>
      </c>
      <c r="E242" s="13" t="s">
        <v>1209</v>
      </c>
      <c r="F242" s="13" t="s">
        <v>0</v>
      </c>
      <c r="G242" s="13" t="s">
        <v>13</v>
      </c>
      <c r="H242" s="13">
        <v>0</v>
      </c>
      <c r="I242" s="13">
        <v>1</v>
      </c>
      <c r="J242" s="13" t="s">
        <v>11</v>
      </c>
      <c r="K242" s="13"/>
      <c r="L242" s="18" t="s">
        <v>2246</v>
      </c>
    </row>
    <row r="243" spans="1:12" ht="21" x14ac:dyDescent="0.15">
      <c r="A243" s="13">
        <v>403</v>
      </c>
      <c r="B243" s="3" t="str">
        <f t="shared" si="6"/>
        <v>B403</v>
      </c>
      <c r="C243" s="13" t="s">
        <v>1210</v>
      </c>
      <c r="D243" s="13" t="s">
        <v>1758</v>
      </c>
      <c r="E243" s="13" t="s">
        <v>1765</v>
      </c>
      <c r="F243" s="13" t="s">
        <v>0</v>
      </c>
      <c r="G243" s="13" t="s">
        <v>13</v>
      </c>
      <c r="H243" s="13">
        <v>0</v>
      </c>
      <c r="I243" s="13">
        <v>1</v>
      </c>
      <c r="J243" s="13" t="s">
        <v>11</v>
      </c>
      <c r="K243" s="13"/>
      <c r="L243" s="18" t="s">
        <v>2246</v>
      </c>
    </row>
    <row r="244" spans="1:12" ht="21" x14ac:dyDescent="0.15">
      <c r="A244" s="13">
        <v>404</v>
      </c>
      <c r="B244" s="3" t="str">
        <f t="shared" si="6"/>
        <v>B404</v>
      </c>
      <c r="C244" s="13" t="s">
        <v>1211</v>
      </c>
      <c r="D244" s="13" t="s">
        <v>1763</v>
      </c>
      <c r="E244" s="13" t="s">
        <v>1766</v>
      </c>
      <c r="F244" s="13" t="s">
        <v>0</v>
      </c>
      <c r="G244" s="13" t="s">
        <v>13</v>
      </c>
      <c r="H244" s="13">
        <v>0</v>
      </c>
      <c r="I244" s="13">
        <v>1</v>
      </c>
      <c r="J244" s="13" t="s">
        <v>11</v>
      </c>
      <c r="K244" s="13"/>
      <c r="L244" s="18" t="s">
        <v>2246</v>
      </c>
    </row>
    <row r="245" spans="1:12" ht="21" x14ac:dyDescent="0.15">
      <c r="A245" s="13">
        <v>405</v>
      </c>
      <c r="B245" s="3" t="str">
        <f t="shared" si="6"/>
        <v>B405</v>
      </c>
      <c r="C245" s="13" t="s">
        <v>1212</v>
      </c>
      <c r="D245" s="13" t="s">
        <v>1761</v>
      </c>
      <c r="E245" s="13" t="s">
        <v>1213</v>
      </c>
      <c r="F245" s="13" t="s">
        <v>0</v>
      </c>
      <c r="G245" s="13" t="s">
        <v>13</v>
      </c>
      <c r="H245" s="13">
        <v>0</v>
      </c>
      <c r="I245" s="13">
        <v>1</v>
      </c>
      <c r="J245" s="13" t="s">
        <v>11</v>
      </c>
      <c r="K245" s="13"/>
      <c r="L245" s="18" t="s">
        <v>2246</v>
      </c>
    </row>
    <row r="246" spans="1:12" ht="21" x14ac:dyDescent="0.15">
      <c r="A246" s="13">
        <v>406</v>
      </c>
      <c r="B246" s="3" t="str">
        <f t="shared" si="6"/>
        <v>B406</v>
      </c>
      <c r="C246" s="13" t="s">
        <v>1214</v>
      </c>
      <c r="D246" s="13" t="s">
        <v>1764</v>
      </c>
      <c r="E246" s="13" t="s">
        <v>1215</v>
      </c>
      <c r="F246" s="13" t="s">
        <v>0</v>
      </c>
      <c r="G246" s="13" t="s">
        <v>13</v>
      </c>
      <c r="H246" s="13">
        <v>0</v>
      </c>
      <c r="I246" s="13">
        <v>1</v>
      </c>
      <c r="J246" s="13" t="s">
        <v>11</v>
      </c>
      <c r="K246" s="13"/>
      <c r="L246" s="18" t="s">
        <v>2246</v>
      </c>
    </row>
    <row r="247" spans="1:12" ht="21" x14ac:dyDescent="0.15">
      <c r="A247" s="13">
        <v>407</v>
      </c>
      <c r="B247" s="3" t="str">
        <f t="shared" si="6"/>
        <v>B407</v>
      </c>
      <c r="C247" s="13" t="s">
        <v>2429</v>
      </c>
      <c r="D247" s="13" t="s">
        <v>2427</v>
      </c>
      <c r="E247" s="13" t="s">
        <v>2428</v>
      </c>
      <c r="F247" s="13" t="s">
        <v>0</v>
      </c>
      <c r="G247" s="13" t="s">
        <v>13</v>
      </c>
      <c r="H247" s="13">
        <v>0</v>
      </c>
      <c r="I247" s="13">
        <v>1</v>
      </c>
      <c r="J247" s="13" t="s">
        <v>11</v>
      </c>
      <c r="K247" s="13"/>
      <c r="L247" s="18"/>
    </row>
    <row r="248" spans="1:12" ht="21" x14ac:dyDescent="0.15">
      <c r="A248" s="13">
        <v>408</v>
      </c>
      <c r="B248" s="3" t="str">
        <f t="shared" si="6"/>
        <v>B408</v>
      </c>
      <c r="C248" s="13" t="s">
        <v>2430</v>
      </c>
      <c r="D248" s="13" t="s">
        <v>2426</v>
      </c>
      <c r="E248" s="13" t="s">
        <v>2446</v>
      </c>
      <c r="F248" s="13" t="s">
        <v>45</v>
      </c>
      <c r="G248" s="13" t="s">
        <v>13</v>
      </c>
      <c r="H248" s="13">
        <v>0</v>
      </c>
      <c r="I248" s="13">
        <v>1</v>
      </c>
      <c r="J248" s="13" t="s">
        <v>16</v>
      </c>
      <c r="K248" s="13"/>
      <c r="L248" s="18" t="s">
        <v>2467</v>
      </c>
    </row>
    <row r="249" spans="1:12" x14ac:dyDescent="0.15">
      <c r="A249" s="13">
        <v>409</v>
      </c>
      <c r="B249" s="3" t="str">
        <f t="shared" si="6"/>
        <v>B409</v>
      </c>
      <c r="C249" s="13" t="s">
        <v>2431</v>
      </c>
      <c r="D249" s="13" t="s">
        <v>2425</v>
      </c>
      <c r="E249" s="13" t="s">
        <v>2447</v>
      </c>
      <c r="F249" s="13" t="s">
        <v>45</v>
      </c>
      <c r="G249" s="13" t="s">
        <v>13</v>
      </c>
      <c r="H249" s="13">
        <v>0</v>
      </c>
      <c r="I249" s="13">
        <v>1</v>
      </c>
      <c r="J249" s="13" t="s">
        <v>16</v>
      </c>
      <c r="K249" s="13"/>
      <c r="L249" s="18" t="s">
        <v>2467</v>
      </c>
    </row>
    <row r="250" spans="1:12" ht="21" x14ac:dyDescent="0.15">
      <c r="A250" s="13">
        <v>410</v>
      </c>
      <c r="B250" s="3" t="str">
        <f t="shared" si="6"/>
        <v>B410</v>
      </c>
      <c r="C250" s="13" t="s">
        <v>2432</v>
      </c>
      <c r="D250" s="13" t="s">
        <v>2424</v>
      </c>
      <c r="E250" s="13" t="s">
        <v>2448</v>
      </c>
      <c r="F250" s="13" t="s">
        <v>45</v>
      </c>
      <c r="G250" s="13" t="s">
        <v>13</v>
      </c>
      <c r="H250" s="13">
        <v>0</v>
      </c>
      <c r="I250" s="13">
        <v>1</v>
      </c>
      <c r="J250" s="13" t="s">
        <v>16</v>
      </c>
      <c r="K250" s="13"/>
      <c r="L250" s="18" t="s">
        <v>2467</v>
      </c>
    </row>
    <row r="251" spans="1:12" ht="21" x14ac:dyDescent="0.15">
      <c r="A251" s="13">
        <v>411</v>
      </c>
      <c r="B251" s="3" t="str">
        <f t="shared" si="6"/>
        <v>B411</v>
      </c>
      <c r="C251" s="13" t="s">
        <v>2433</v>
      </c>
      <c r="D251" s="13" t="s">
        <v>2423</v>
      </c>
      <c r="E251" s="13" t="s">
        <v>2449</v>
      </c>
      <c r="F251" s="13" t="s">
        <v>45</v>
      </c>
      <c r="G251" s="13" t="s">
        <v>13</v>
      </c>
      <c r="H251" s="13">
        <v>0</v>
      </c>
      <c r="I251" s="13">
        <v>1</v>
      </c>
      <c r="J251" s="13" t="s">
        <v>16</v>
      </c>
      <c r="K251" s="13"/>
      <c r="L251" s="18" t="s">
        <v>2467</v>
      </c>
    </row>
    <row r="252" spans="1:12" ht="21" x14ac:dyDescent="0.15">
      <c r="A252" s="13">
        <v>412</v>
      </c>
      <c r="B252" s="3" t="str">
        <f t="shared" si="6"/>
        <v>B412</v>
      </c>
      <c r="C252" s="13" t="s">
        <v>2434</v>
      </c>
      <c r="D252" s="13" t="s">
        <v>2422</v>
      </c>
      <c r="E252" s="13" t="s">
        <v>2445</v>
      </c>
      <c r="F252" s="13" t="s">
        <v>45</v>
      </c>
      <c r="G252" s="13" t="s">
        <v>13</v>
      </c>
      <c r="H252" s="13">
        <v>0</v>
      </c>
      <c r="I252" s="13">
        <v>1</v>
      </c>
      <c r="J252" s="13" t="s">
        <v>11</v>
      </c>
      <c r="K252" s="13"/>
      <c r="L252" s="18" t="s">
        <v>2246</v>
      </c>
    </row>
    <row r="253" spans="1:12" ht="21" x14ac:dyDescent="0.15">
      <c r="A253" s="13">
        <v>413</v>
      </c>
      <c r="B253" s="3" t="str">
        <f t="shared" si="6"/>
        <v>B413</v>
      </c>
      <c r="C253" s="13" t="s">
        <v>2435</v>
      </c>
      <c r="D253" s="13" t="s">
        <v>2421</v>
      </c>
      <c r="E253" s="13" t="s">
        <v>2444</v>
      </c>
      <c r="F253" s="13" t="s">
        <v>0</v>
      </c>
      <c r="G253" s="13" t="s">
        <v>13</v>
      </c>
      <c r="H253" s="13">
        <v>0</v>
      </c>
      <c r="I253" s="13">
        <v>1</v>
      </c>
      <c r="J253" s="13" t="s">
        <v>11</v>
      </c>
      <c r="K253" s="13"/>
      <c r="L253" s="18" t="s">
        <v>2246</v>
      </c>
    </row>
    <row r="254" spans="1:12" ht="21" x14ac:dyDescent="0.15">
      <c r="A254" s="13">
        <v>414</v>
      </c>
      <c r="B254" s="3" t="str">
        <f t="shared" si="6"/>
        <v>B414</v>
      </c>
      <c r="C254" s="13" t="s">
        <v>2436</v>
      </c>
      <c r="D254" s="13" t="s">
        <v>2420</v>
      </c>
      <c r="E254" s="13" t="s">
        <v>2443</v>
      </c>
      <c r="F254" s="13" t="s">
        <v>45</v>
      </c>
      <c r="G254" s="13" t="s">
        <v>13</v>
      </c>
      <c r="H254" s="13">
        <v>0</v>
      </c>
      <c r="I254" s="13">
        <v>1</v>
      </c>
      <c r="J254" s="13" t="s">
        <v>16</v>
      </c>
      <c r="K254" s="13"/>
      <c r="L254" s="18" t="s">
        <v>2467</v>
      </c>
    </row>
    <row r="255" spans="1:12" x14ac:dyDescent="0.15">
      <c r="A255" s="13">
        <v>415</v>
      </c>
      <c r="B255" s="3" t="str">
        <f t="shared" si="6"/>
        <v>B415</v>
      </c>
      <c r="C255" s="13" t="s">
        <v>2437</v>
      </c>
      <c r="D255" s="13" t="s">
        <v>2419</v>
      </c>
      <c r="E255" s="13" t="s">
        <v>2442</v>
      </c>
      <c r="F255" s="13" t="s">
        <v>45</v>
      </c>
      <c r="G255" s="13" t="s">
        <v>13</v>
      </c>
      <c r="H255" s="13">
        <v>0</v>
      </c>
      <c r="I255" s="13">
        <v>1</v>
      </c>
      <c r="J255" s="13" t="s">
        <v>16</v>
      </c>
      <c r="K255" s="13"/>
      <c r="L255" s="18" t="s">
        <v>2467</v>
      </c>
    </row>
    <row r="256" spans="1:12" ht="21" x14ac:dyDescent="0.15">
      <c r="A256" s="13">
        <v>416</v>
      </c>
      <c r="B256" s="3" t="str">
        <f t="shared" si="6"/>
        <v>B416</v>
      </c>
      <c r="C256" s="13" t="s">
        <v>2416</v>
      </c>
      <c r="D256" s="13" t="s">
        <v>2417</v>
      </c>
      <c r="E256" s="13" t="s">
        <v>2465</v>
      </c>
      <c r="F256" s="13" t="s">
        <v>45</v>
      </c>
      <c r="G256" s="13" t="s">
        <v>13</v>
      </c>
      <c r="H256" s="13">
        <v>0</v>
      </c>
      <c r="I256" s="13">
        <v>1</v>
      </c>
      <c r="J256" s="13" t="s">
        <v>16</v>
      </c>
      <c r="K256" s="13"/>
      <c r="L256" s="18" t="s">
        <v>2467</v>
      </c>
    </row>
    <row r="257" spans="1:13" ht="21" x14ac:dyDescent="0.15">
      <c r="A257" s="13">
        <v>417</v>
      </c>
      <c r="B257" s="3" t="str">
        <f t="shared" si="6"/>
        <v>B417</v>
      </c>
      <c r="C257" s="13" t="s">
        <v>2438</v>
      </c>
      <c r="D257" s="13" t="s">
        <v>2418</v>
      </c>
      <c r="E257" s="13" t="s">
        <v>2466</v>
      </c>
      <c r="F257" s="13" t="s">
        <v>45</v>
      </c>
      <c r="G257" s="13" t="s">
        <v>13</v>
      </c>
      <c r="H257" s="13">
        <v>0</v>
      </c>
      <c r="I257" s="13">
        <v>1</v>
      </c>
      <c r="J257" s="13" t="s">
        <v>16</v>
      </c>
      <c r="K257" s="13"/>
      <c r="L257" s="18" t="s">
        <v>2467</v>
      </c>
    </row>
    <row r="258" spans="1:13" x14ac:dyDescent="0.15">
      <c r="A258" s="13">
        <v>418</v>
      </c>
      <c r="B258" s="3" t="str">
        <f t="shared" si="6"/>
        <v>B418</v>
      </c>
      <c r="C258" s="13" t="s">
        <v>2439</v>
      </c>
      <c r="D258" s="13" t="s">
        <v>2440</v>
      </c>
      <c r="E258" s="13" t="s">
        <v>2441</v>
      </c>
      <c r="F258" s="13" t="s">
        <v>0</v>
      </c>
      <c r="G258" s="13" t="s">
        <v>13</v>
      </c>
      <c r="H258" s="13">
        <v>0</v>
      </c>
      <c r="I258" s="13">
        <v>1</v>
      </c>
      <c r="J258" s="13" t="s">
        <v>11</v>
      </c>
      <c r="K258" s="13"/>
      <c r="L258" s="18" t="s">
        <v>2246</v>
      </c>
    </row>
    <row r="259" spans="1:13" x14ac:dyDescent="0.15">
      <c r="A259" s="13">
        <v>420</v>
      </c>
      <c r="B259" s="3" t="str">
        <f t="shared" si="6"/>
        <v>B420</v>
      </c>
      <c r="C259" s="13" t="s">
        <v>2450</v>
      </c>
      <c r="D259" s="13" t="s">
        <v>2457</v>
      </c>
      <c r="E259" s="13" t="s">
        <v>2461</v>
      </c>
      <c r="F259" s="13" t="s">
        <v>45</v>
      </c>
      <c r="G259" s="13" t="s">
        <v>13</v>
      </c>
      <c r="H259" s="13">
        <v>0</v>
      </c>
      <c r="I259" s="13">
        <v>1</v>
      </c>
      <c r="J259" s="13" t="s">
        <v>16</v>
      </c>
      <c r="K259" s="13"/>
      <c r="L259" s="18" t="s">
        <v>2246</v>
      </c>
    </row>
    <row r="260" spans="1:13" x14ac:dyDescent="0.15">
      <c r="A260" s="13">
        <v>421</v>
      </c>
      <c r="B260" s="3" t="str">
        <f t="shared" si="6"/>
        <v>B421</v>
      </c>
      <c r="C260" s="13" t="s">
        <v>2451</v>
      </c>
      <c r="D260" s="13" t="s">
        <v>2458</v>
      </c>
      <c r="E260" s="13" t="s">
        <v>2462</v>
      </c>
      <c r="F260" s="13" t="s">
        <v>45</v>
      </c>
      <c r="G260" s="13" t="s">
        <v>13</v>
      </c>
      <c r="H260" s="13">
        <v>0</v>
      </c>
      <c r="I260" s="13">
        <v>1</v>
      </c>
      <c r="J260" s="13" t="s">
        <v>16</v>
      </c>
      <c r="K260" s="13"/>
      <c r="L260" s="18" t="s">
        <v>2246</v>
      </c>
    </row>
    <row r="261" spans="1:13" x14ac:dyDescent="0.15">
      <c r="A261" s="13">
        <v>422</v>
      </c>
      <c r="B261" s="3" t="str">
        <f t="shared" si="6"/>
        <v>B422</v>
      </c>
      <c r="C261" s="13" t="s">
        <v>2452</v>
      </c>
      <c r="D261" s="13" t="s">
        <v>2459</v>
      </c>
      <c r="E261" s="13" t="s">
        <v>2463</v>
      </c>
      <c r="F261" s="13" t="s">
        <v>45</v>
      </c>
      <c r="G261" s="13" t="s">
        <v>13</v>
      </c>
      <c r="H261" s="13">
        <v>0</v>
      </c>
      <c r="I261" s="13">
        <v>1</v>
      </c>
      <c r="J261" s="13" t="s">
        <v>16</v>
      </c>
      <c r="K261" s="13"/>
      <c r="L261" s="18" t="s">
        <v>2246</v>
      </c>
    </row>
    <row r="262" spans="1:13" x14ac:dyDescent="0.15">
      <c r="A262" s="13">
        <v>423</v>
      </c>
      <c r="B262" s="3" t="str">
        <f t="shared" si="6"/>
        <v>B423</v>
      </c>
      <c r="C262" s="13" t="s">
        <v>2453</v>
      </c>
      <c r="D262" s="13" t="s">
        <v>2460</v>
      </c>
      <c r="E262" s="13" t="s">
        <v>2464</v>
      </c>
      <c r="F262" s="13" t="s">
        <v>45</v>
      </c>
      <c r="G262" s="13" t="s">
        <v>13</v>
      </c>
      <c r="H262" s="13">
        <v>0</v>
      </c>
      <c r="I262" s="13">
        <v>1</v>
      </c>
      <c r="J262" s="13" t="s">
        <v>16</v>
      </c>
      <c r="K262" s="13"/>
      <c r="L262" s="18" t="s">
        <v>2246</v>
      </c>
    </row>
    <row r="263" spans="1:13" ht="21" x14ac:dyDescent="0.15">
      <c r="A263" s="27">
        <v>424</v>
      </c>
      <c r="B263" s="28" t="str">
        <f t="shared" si="6"/>
        <v>B424</v>
      </c>
      <c r="C263" s="27" t="s">
        <v>2454</v>
      </c>
      <c r="D263" s="27" t="s">
        <v>2414</v>
      </c>
      <c r="E263" s="27" t="s">
        <v>2415</v>
      </c>
      <c r="F263" s="27" t="s">
        <v>45</v>
      </c>
      <c r="G263" s="27" t="s">
        <v>13</v>
      </c>
      <c r="H263" s="27">
        <v>0</v>
      </c>
      <c r="I263" s="27">
        <v>1</v>
      </c>
      <c r="J263" s="27" t="s">
        <v>11</v>
      </c>
      <c r="K263" s="27"/>
      <c r="L263" s="18" t="s">
        <v>2246</v>
      </c>
      <c r="M263" s="30"/>
    </row>
    <row r="264" spans="1:13" x14ac:dyDescent="0.15">
      <c r="A264" s="13">
        <v>425</v>
      </c>
      <c r="B264" s="3" t="str">
        <f t="shared" si="6"/>
        <v>B425</v>
      </c>
      <c r="C264" s="13" t="s">
        <v>2455</v>
      </c>
      <c r="D264" s="13" t="s">
        <v>2456</v>
      </c>
      <c r="E264" s="13" t="s">
        <v>1216</v>
      </c>
      <c r="F264" s="13" t="s">
        <v>0</v>
      </c>
      <c r="G264" s="13" t="s">
        <v>13</v>
      </c>
      <c r="H264" s="13">
        <v>0</v>
      </c>
      <c r="I264" s="13">
        <v>1</v>
      </c>
      <c r="J264" s="13" t="s">
        <v>16</v>
      </c>
      <c r="K264" s="13"/>
      <c r="L264" s="18" t="s">
        <v>2246</v>
      </c>
    </row>
    <row r="265" spans="1:13" x14ac:dyDescent="0.15">
      <c r="A265" s="13">
        <v>426</v>
      </c>
      <c r="B265" s="3" t="str">
        <f t="shared" si="6"/>
        <v>B426</v>
      </c>
      <c r="C265" s="13" t="s">
        <v>1217</v>
      </c>
      <c r="D265" s="13" t="s">
        <v>1767</v>
      </c>
      <c r="E265" s="13" t="s">
        <v>1768</v>
      </c>
      <c r="F265" s="13" t="s">
        <v>0</v>
      </c>
      <c r="G265" s="13" t="s">
        <v>13</v>
      </c>
      <c r="H265" s="13">
        <v>0</v>
      </c>
      <c r="I265" s="13">
        <v>1</v>
      </c>
      <c r="J265" s="13" t="s">
        <v>11</v>
      </c>
      <c r="K265" s="13"/>
      <c r="L265" s="19" t="s">
        <v>2246</v>
      </c>
    </row>
    <row r="266" spans="1:13" ht="21" customHeight="1" x14ac:dyDescent="0.15">
      <c r="A266" s="13">
        <v>427</v>
      </c>
      <c r="B266" s="3" t="str">
        <f t="shared" si="6"/>
        <v>B427</v>
      </c>
      <c r="C266" s="13" t="s">
        <v>1218</v>
      </c>
      <c r="D266" s="13" t="s">
        <v>1769</v>
      </c>
      <c r="E266" s="13" t="s">
        <v>1219</v>
      </c>
      <c r="F266" s="13" t="s">
        <v>0</v>
      </c>
      <c r="G266" s="13" t="s">
        <v>13</v>
      </c>
      <c r="H266" s="13">
        <v>0</v>
      </c>
      <c r="I266" s="13">
        <v>1</v>
      </c>
      <c r="J266" s="13" t="s">
        <v>11</v>
      </c>
      <c r="K266" s="13"/>
      <c r="L266" s="19" t="s">
        <v>2246</v>
      </c>
    </row>
    <row r="267" spans="1:13" x14ac:dyDescent="0.15">
      <c r="A267" s="13">
        <v>434</v>
      </c>
      <c r="B267" s="3" t="str">
        <f t="shared" si="6"/>
        <v>B434</v>
      </c>
      <c r="C267" s="13" t="s">
        <v>2468</v>
      </c>
      <c r="D267" s="13" t="s">
        <v>2475</v>
      </c>
      <c r="E267" s="13" t="s">
        <v>2478</v>
      </c>
      <c r="F267" s="13" t="s">
        <v>45</v>
      </c>
      <c r="G267" s="13" t="s">
        <v>13</v>
      </c>
      <c r="H267" s="13">
        <v>0</v>
      </c>
      <c r="I267" s="13">
        <v>1</v>
      </c>
      <c r="J267" s="13" t="s">
        <v>16</v>
      </c>
      <c r="K267" s="13"/>
      <c r="L267" s="18" t="s">
        <v>2246</v>
      </c>
    </row>
    <row r="268" spans="1:13" x14ac:dyDescent="0.15">
      <c r="A268" s="13">
        <v>439</v>
      </c>
      <c r="B268" s="3" t="str">
        <f t="shared" si="6"/>
        <v>B439</v>
      </c>
      <c r="C268" s="13" t="s">
        <v>2469</v>
      </c>
      <c r="D268" s="13" t="s">
        <v>2476</v>
      </c>
      <c r="E268" s="13" t="s">
        <v>2477</v>
      </c>
      <c r="F268" s="13" t="s">
        <v>45</v>
      </c>
      <c r="G268" s="13" t="s">
        <v>13</v>
      </c>
      <c r="H268" s="13">
        <v>0</v>
      </c>
      <c r="I268" s="13">
        <v>1</v>
      </c>
      <c r="J268" s="13" t="s">
        <v>16</v>
      </c>
      <c r="K268" s="13"/>
      <c r="L268" s="18" t="s">
        <v>2246</v>
      </c>
    </row>
    <row r="269" spans="1:13" ht="21" x14ac:dyDescent="0.15">
      <c r="A269" s="13">
        <v>454</v>
      </c>
      <c r="B269" s="3" t="str">
        <f t="shared" ref="B269:B293" si="7">"B"&amp;A269</f>
        <v>B454</v>
      </c>
      <c r="C269" s="13" t="s">
        <v>1220</v>
      </c>
      <c r="D269" s="13" t="s">
        <v>2479</v>
      </c>
      <c r="E269" s="13" t="s">
        <v>2499</v>
      </c>
      <c r="F269" s="13" t="s">
        <v>0</v>
      </c>
      <c r="G269" s="13" t="s">
        <v>13</v>
      </c>
      <c r="H269" s="13">
        <v>0</v>
      </c>
      <c r="I269" s="13">
        <v>1</v>
      </c>
      <c r="J269" s="13" t="s">
        <v>11</v>
      </c>
      <c r="K269" s="13"/>
      <c r="L269" s="18" t="s">
        <v>2246</v>
      </c>
    </row>
    <row r="270" spans="1:13" ht="21" x14ac:dyDescent="0.15">
      <c r="A270" s="13">
        <v>455</v>
      </c>
      <c r="B270" s="3" t="str">
        <f t="shared" si="7"/>
        <v>B455</v>
      </c>
      <c r="C270" s="13" t="s">
        <v>1221</v>
      </c>
      <c r="D270" s="13" t="s">
        <v>2480</v>
      </c>
      <c r="E270" s="13" t="s">
        <v>2498</v>
      </c>
      <c r="F270" s="13" t="s">
        <v>0</v>
      </c>
      <c r="G270" s="13" t="s">
        <v>13</v>
      </c>
      <c r="H270" s="13">
        <v>0</v>
      </c>
      <c r="I270" s="13">
        <v>1</v>
      </c>
      <c r="J270" s="13" t="s">
        <v>11</v>
      </c>
      <c r="K270" s="13"/>
      <c r="L270" s="18" t="s">
        <v>2246</v>
      </c>
    </row>
    <row r="271" spans="1:13" ht="21" x14ac:dyDescent="0.15">
      <c r="A271" s="13">
        <v>456</v>
      </c>
      <c r="B271" s="3" t="str">
        <f t="shared" si="7"/>
        <v>B456</v>
      </c>
      <c r="C271" s="13" t="s">
        <v>1222</v>
      </c>
      <c r="D271" s="13" t="s">
        <v>2481</v>
      </c>
      <c r="E271" s="13" t="s">
        <v>2497</v>
      </c>
      <c r="F271" s="13" t="s">
        <v>0</v>
      </c>
      <c r="G271" s="13" t="s">
        <v>13</v>
      </c>
      <c r="H271" s="13">
        <v>0</v>
      </c>
      <c r="I271" s="13">
        <v>1</v>
      </c>
      <c r="J271" s="13" t="s">
        <v>11</v>
      </c>
      <c r="K271" s="13"/>
      <c r="L271" s="18" t="s">
        <v>2246</v>
      </c>
    </row>
    <row r="272" spans="1:13" x14ac:dyDescent="0.15">
      <c r="A272" s="13">
        <v>457</v>
      </c>
      <c r="B272" s="3" t="str">
        <f t="shared" si="7"/>
        <v>B457</v>
      </c>
      <c r="C272" s="13" t="s">
        <v>1223</v>
      </c>
      <c r="D272" s="13" t="s">
        <v>2482</v>
      </c>
      <c r="E272" s="13" t="s">
        <v>2483</v>
      </c>
      <c r="F272" s="13" t="s">
        <v>0</v>
      </c>
      <c r="G272" s="13" t="s">
        <v>13</v>
      </c>
      <c r="H272" s="13">
        <v>0</v>
      </c>
      <c r="I272" s="13">
        <v>1</v>
      </c>
      <c r="J272" s="13" t="s">
        <v>11</v>
      </c>
      <c r="K272" s="13"/>
      <c r="L272" s="18" t="s">
        <v>2246</v>
      </c>
    </row>
    <row r="273" spans="1:12" ht="21" x14ac:dyDescent="0.15">
      <c r="A273" s="13">
        <v>458</v>
      </c>
      <c r="B273" s="3" t="str">
        <f t="shared" si="7"/>
        <v>B458</v>
      </c>
      <c r="C273" s="13" t="s">
        <v>1224</v>
      </c>
      <c r="D273" s="13" t="s">
        <v>2484</v>
      </c>
      <c r="E273" s="13" t="s">
        <v>2493</v>
      </c>
      <c r="F273" s="13" t="s">
        <v>0</v>
      </c>
      <c r="G273" s="13" t="s">
        <v>13</v>
      </c>
      <c r="H273" s="13">
        <v>0</v>
      </c>
      <c r="I273" s="13">
        <v>1</v>
      </c>
      <c r="J273" s="13" t="s">
        <v>11</v>
      </c>
      <c r="K273" s="13"/>
      <c r="L273" s="18" t="s">
        <v>2246</v>
      </c>
    </row>
    <row r="274" spans="1:12" ht="21" x14ac:dyDescent="0.15">
      <c r="A274" s="13">
        <v>459</v>
      </c>
      <c r="B274" s="3" t="str">
        <f t="shared" si="7"/>
        <v>B459</v>
      </c>
      <c r="C274" s="13" t="s">
        <v>1225</v>
      </c>
      <c r="D274" s="13" t="s">
        <v>2485</v>
      </c>
      <c r="E274" s="13" t="s">
        <v>2494</v>
      </c>
      <c r="F274" s="13" t="s">
        <v>0</v>
      </c>
      <c r="G274" s="13" t="s">
        <v>13</v>
      </c>
      <c r="H274" s="13">
        <v>0</v>
      </c>
      <c r="I274" s="13">
        <v>1</v>
      </c>
      <c r="J274" s="13" t="s">
        <v>11</v>
      </c>
      <c r="K274" s="13"/>
      <c r="L274" s="18" t="s">
        <v>2246</v>
      </c>
    </row>
    <row r="275" spans="1:12" x14ac:dyDescent="0.15">
      <c r="A275" s="13">
        <v>460</v>
      </c>
      <c r="B275" s="3" t="str">
        <f t="shared" si="7"/>
        <v>B460</v>
      </c>
      <c r="C275" s="13" t="s">
        <v>1226</v>
      </c>
      <c r="D275" s="13" t="s">
        <v>2486</v>
      </c>
      <c r="E275" s="13" t="s">
        <v>1771</v>
      </c>
      <c r="F275" s="13" t="s">
        <v>0</v>
      </c>
      <c r="G275" s="13" t="s">
        <v>13</v>
      </c>
      <c r="H275" s="13">
        <v>0</v>
      </c>
      <c r="I275" s="13">
        <v>1</v>
      </c>
      <c r="J275" s="13" t="s">
        <v>11</v>
      </c>
      <c r="K275" s="13"/>
      <c r="L275" s="18" t="s">
        <v>2246</v>
      </c>
    </row>
    <row r="276" spans="1:12" x14ac:dyDescent="0.15">
      <c r="A276" s="13">
        <v>461</v>
      </c>
      <c r="B276" s="3" t="str">
        <f t="shared" si="7"/>
        <v>B461</v>
      </c>
      <c r="C276" s="13" t="s">
        <v>1227</v>
      </c>
      <c r="D276" s="13" t="s">
        <v>2487</v>
      </c>
      <c r="E276" s="13" t="s">
        <v>2495</v>
      </c>
      <c r="F276" s="13" t="s">
        <v>45</v>
      </c>
      <c r="G276" s="13" t="s">
        <v>13</v>
      </c>
      <c r="H276" s="13">
        <v>0</v>
      </c>
      <c r="I276" s="13">
        <v>1</v>
      </c>
      <c r="J276" s="13" t="s">
        <v>11</v>
      </c>
      <c r="K276" s="13"/>
      <c r="L276" s="18" t="s">
        <v>2246</v>
      </c>
    </row>
    <row r="277" spans="1:12" x14ac:dyDescent="0.15">
      <c r="A277" s="13">
        <v>462</v>
      </c>
      <c r="B277" s="3" t="str">
        <f t="shared" si="7"/>
        <v>B462</v>
      </c>
      <c r="C277" s="13" t="s">
        <v>1228</v>
      </c>
      <c r="D277" s="13" t="s">
        <v>2488</v>
      </c>
      <c r="E277" s="13" t="s">
        <v>2496</v>
      </c>
      <c r="F277" s="13" t="s">
        <v>0</v>
      </c>
      <c r="G277" s="13" t="s">
        <v>13</v>
      </c>
      <c r="H277" s="13">
        <v>0</v>
      </c>
      <c r="I277" s="13">
        <v>1</v>
      </c>
      <c r="J277" s="13" t="s">
        <v>11</v>
      </c>
      <c r="K277" s="13"/>
      <c r="L277" s="18" t="s">
        <v>2246</v>
      </c>
    </row>
    <row r="278" spans="1:12" ht="21" x14ac:dyDescent="0.15">
      <c r="A278" s="13">
        <v>463</v>
      </c>
      <c r="B278" s="3" t="str">
        <f t="shared" si="7"/>
        <v>B463</v>
      </c>
      <c r="C278" s="13" t="s">
        <v>1229</v>
      </c>
      <c r="D278" s="13" t="s">
        <v>2489</v>
      </c>
      <c r="E278" s="13" t="s">
        <v>2500</v>
      </c>
      <c r="F278" s="13" t="s">
        <v>45</v>
      </c>
      <c r="G278" s="13" t="s">
        <v>13</v>
      </c>
      <c r="H278" s="13">
        <v>0</v>
      </c>
      <c r="I278" s="13">
        <v>1</v>
      </c>
      <c r="J278" s="13" t="s">
        <v>11</v>
      </c>
      <c r="K278" s="13"/>
      <c r="L278" s="18" t="s">
        <v>2246</v>
      </c>
    </row>
    <row r="279" spans="1:12" ht="21" x14ac:dyDescent="0.15">
      <c r="A279" s="13">
        <v>464</v>
      </c>
      <c r="B279" s="3" t="str">
        <f t="shared" si="7"/>
        <v>B464</v>
      </c>
      <c r="C279" s="13" t="s">
        <v>1230</v>
      </c>
      <c r="D279" s="13" t="s">
        <v>2490</v>
      </c>
      <c r="E279" s="13" t="s">
        <v>2501</v>
      </c>
      <c r="F279" s="13" t="s">
        <v>0</v>
      </c>
      <c r="G279" s="13" t="s">
        <v>13</v>
      </c>
      <c r="H279" s="13">
        <v>0</v>
      </c>
      <c r="I279" s="13">
        <v>1</v>
      </c>
      <c r="J279" s="13" t="s">
        <v>11</v>
      </c>
      <c r="K279" s="13"/>
      <c r="L279" s="18" t="s">
        <v>2246</v>
      </c>
    </row>
    <row r="280" spans="1:12" ht="21" x14ac:dyDescent="0.15">
      <c r="A280" s="13">
        <v>465</v>
      </c>
      <c r="B280" s="3" t="str">
        <f t="shared" si="7"/>
        <v>B465</v>
      </c>
      <c r="C280" s="13" t="s">
        <v>1231</v>
      </c>
      <c r="D280" s="13" t="s">
        <v>2491</v>
      </c>
      <c r="E280" s="13" t="s">
        <v>2502</v>
      </c>
      <c r="F280" s="13" t="s">
        <v>0</v>
      </c>
      <c r="G280" s="13" t="s">
        <v>13</v>
      </c>
      <c r="H280" s="13">
        <v>0</v>
      </c>
      <c r="I280" s="13">
        <v>1</v>
      </c>
      <c r="J280" s="13" t="s">
        <v>11</v>
      </c>
      <c r="K280" s="13"/>
      <c r="L280" s="18" t="s">
        <v>2246</v>
      </c>
    </row>
    <row r="281" spans="1:12" ht="21" x14ac:dyDescent="0.15">
      <c r="A281" s="13">
        <v>466</v>
      </c>
      <c r="B281" s="3" t="str">
        <f t="shared" si="7"/>
        <v>B466</v>
      </c>
      <c r="C281" s="13" t="s">
        <v>1232</v>
      </c>
      <c r="D281" s="13" t="s">
        <v>2492</v>
      </c>
      <c r="E281" s="13" t="s">
        <v>2503</v>
      </c>
      <c r="F281" s="13" t="s">
        <v>0</v>
      </c>
      <c r="G281" s="13" t="s">
        <v>13</v>
      </c>
      <c r="H281" s="13">
        <v>0</v>
      </c>
      <c r="I281" s="13">
        <v>1</v>
      </c>
      <c r="J281" s="13" t="s">
        <v>11</v>
      </c>
      <c r="K281" s="13"/>
      <c r="L281" s="18" t="s">
        <v>2246</v>
      </c>
    </row>
    <row r="282" spans="1:12" ht="21" x14ac:dyDescent="0.15">
      <c r="A282" s="13">
        <v>468</v>
      </c>
      <c r="B282" s="3" t="str">
        <f t="shared" si="7"/>
        <v>B468</v>
      </c>
      <c r="C282" s="13" t="s">
        <v>1233</v>
      </c>
      <c r="D282" s="13" t="s">
        <v>2504</v>
      </c>
      <c r="E282" s="13" t="s">
        <v>2507</v>
      </c>
      <c r="F282" s="13" t="s">
        <v>0</v>
      </c>
      <c r="G282" s="13" t="s">
        <v>13</v>
      </c>
      <c r="H282" s="13">
        <v>0</v>
      </c>
      <c r="I282" s="13">
        <v>1</v>
      </c>
      <c r="J282" s="13" t="s">
        <v>11</v>
      </c>
      <c r="K282" s="13"/>
      <c r="L282" s="18" t="s">
        <v>2246</v>
      </c>
    </row>
    <row r="283" spans="1:12" ht="21" x14ac:dyDescent="0.15">
      <c r="A283" s="13">
        <v>469</v>
      </c>
      <c r="B283" s="3" t="str">
        <f t="shared" si="7"/>
        <v>B469</v>
      </c>
      <c r="C283" s="13" t="s">
        <v>1234</v>
      </c>
      <c r="D283" s="13" t="s">
        <v>2505</v>
      </c>
      <c r="E283" s="13" t="s">
        <v>2506</v>
      </c>
      <c r="F283" s="13" t="s">
        <v>0</v>
      </c>
      <c r="G283" s="13" t="s">
        <v>13</v>
      </c>
      <c r="H283" s="13">
        <v>0</v>
      </c>
      <c r="I283" s="13">
        <v>1</v>
      </c>
      <c r="J283" s="13" t="s">
        <v>11</v>
      </c>
      <c r="K283" s="13"/>
      <c r="L283" s="18" t="s">
        <v>2246</v>
      </c>
    </row>
    <row r="284" spans="1:12" x14ac:dyDescent="0.15">
      <c r="A284" s="13">
        <v>471</v>
      </c>
      <c r="B284" s="3" t="str">
        <f t="shared" si="7"/>
        <v>B471</v>
      </c>
      <c r="C284" s="13" t="s">
        <v>1188</v>
      </c>
      <c r="D284" s="13" t="s">
        <v>1744</v>
      </c>
      <c r="E284" s="13" t="s">
        <v>1189</v>
      </c>
      <c r="F284" s="13" t="s">
        <v>0</v>
      </c>
      <c r="G284" s="13" t="s">
        <v>13</v>
      </c>
      <c r="H284" s="13">
        <v>0</v>
      </c>
      <c r="I284" s="13">
        <v>1</v>
      </c>
      <c r="J284" s="13" t="s">
        <v>16</v>
      </c>
      <c r="K284" s="13"/>
      <c r="L284" s="18" t="s">
        <v>2246</v>
      </c>
    </row>
    <row r="285" spans="1:12" x14ac:dyDescent="0.15">
      <c r="A285" s="13">
        <v>472</v>
      </c>
      <c r="B285" s="3" t="str">
        <f t="shared" si="7"/>
        <v>B472</v>
      </c>
      <c r="C285" s="13" t="s">
        <v>1190</v>
      </c>
      <c r="D285" s="13" t="s">
        <v>1744</v>
      </c>
      <c r="E285" s="13" t="s">
        <v>1189</v>
      </c>
      <c r="F285" s="13" t="s">
        <v>0</v>
      </c>
      <c r="G285" s="13" t="s">
        <v>13</v>
      </c>
      <c r="H285" s="13">
        <v>0</v>
      </c>
      <c r="I285" s="13">
        <v>1</v>
      </c>
      <c r="J285" s="13" t="s">
        <v>16</v>
      </c>
      <c r="K285" s="13"/>
      <c r="L285" s="18" t="s">
        <v>2246</v>
      </c>
    </row>
    <row r="286" spans="1:12" ht="21" x14ac:dyDescent="0.15">
      <c r="A286" s="13">
        <v>501</v>
      </c>
      <c r="B286" s="3" t="str">
        <f t="shared" si="7"/>
        <v>B501</v>
      </c>
      <c r="C286" s="13" t="s">
        <v>1235</v>
      </c>
      <c r="D286" s="13" t="s">
        <v>2405</v>
      </c>
      <c r="E286" s="13" t="s">
        <v>2404</v>
      </c>
      <c r="F286" s="13" t="s">
        <v>0</v>
      </c>
      <c r="G286" s="13" t="s">
        <v>13</v>
      </c>
      <c r="H286" s="13">
        <v>0</v>
      </c>
      <c r="I286" s="13">
        <v>1</v>
      </c>
      <c r="J286" s="13" t="s">
        <v>11</v>
      </c>
      <c r="K286" s="13"/>
      <c r="L286" s="18" t="s">
        <v>2246</v>
      </c>
    </row>
    <row r="287" spans="1:12" ht="21" x14ac:dyDescent="0.15">
      <c r="A287" s="13">
        <v>502</v>
      </c>
      <c r="B287" s="3" t="str">
        <f t="shared" si="7"/>
        <v>B502</v>
      </c>
      <c r="C287" s="13" t="s">
        <v>1236</v>
      </c>
      <c r="D287" s="13" t="s">
        <v>2405</v>
      </c>
      <c r="E287" s="13" t="s">
        <v>2403</v>
      </c>
      <c r="F287" s="13" t="s">
        <v>0</v>
      </c>
      <c r="G287" s="13" t="s">
        <v>13</v>
      </c>
      <c r="H287" s="13">
        <v>0</v>
      </c>
      <c r="I287" s="13">
        <v>1</v>
      </c>
      <c r="J287" s="13" t="s">
        <v>11</v>
      </c>
      <c r="K287" s="13"/>
      <c r="L287" s="18" t="s">
        <v>2246</v>
      </c>
    </row>
    <row r="288" spans="1:12" ht="21" x14ac:dyDescent="0.15">
      <c r="A288" s="13">
        <v>503</v>
      </c>
      <c r="B288" s="3" t="str">
        <f t="shared" si="7"/>
        <v>B503</v>
      </c>
      <c r="C288" s="13" t="s">
        <v>1237</v>
      </c>
      <c r="D288" s="13" t="s">
        <v>2405</v>
      </c>
      <c r="E288" s="13" t="s">
        <v>2404</v>
      </c>
      <c r="F288" s="13" t="s">
        <v>0</v>
      </c>
      <c r="G288" s="13" t="s">
        <v>13</v>
      </c>
      <c r="H288" s="13">
        <v>0</v>
      </c>
      <c r="I288" s="13">
        <v>1</v>
      </c>
      <c r="J288" s="13" t="s">
        <v>11</v>
      </c>
      <c r="K288" s="13"/>
      <c r="L288" s="18" t="s">
        <v>2246</v>
      </c>
    </row>
    <row r="289" spans="1:12" ht="21" x14ac:dyDescent="0.15">
      <c r="A289" s="13">
        <v>504</v>
      </c>
      <c r="B289" s="3" t="str">
        <f t="shared" si="7"/>
        <v>B504</v>
      </c>
      <c r="C289" s="13" t="s">
        <v>1238</v>
      </c>
      <c r="D289" s="13" t="s">
        <v>2402</v>
      </c>
      <c r="E289" s="13" t="s">
        <v>2407</v>
      </c>
      <c r="F289" s="13" t="s">
        <v>0</v>
      </c>
      <c r="G289" s="13" t="s">
        <v>13</v>
      </c>
      <c r="H289" s="13">
        <v>0</v>
      </c>
      <c r="I289" s="13">
        <v>1</v>
      </c>
      <c r="J289" s="13" t="s">
        <v>11</v>
      </c>
      <c r="K289" s="13"/>
      <c r="L289" s="18" t="s">
        <v>2246</v>
      </c>
    </row>
    <row r="290" spans="1:12" ht="21" x14ac:dyDescent="0.15">
      <c r="A290" s="13">
        <v>505</v>
      </c>
      <c r="B290" s="3" t="str">
        <f t="shared" si="7"/>
        <v>B505</v>
      </c>
      <c r="C290" s="13" t="s">
        <v>1239</v>
      </c>
      <c r="D290" s="13" t="s">
        <v>1770</v>
      </c>
      <c r="E290" s="13" t="s">
        <v>1240</v>
      </c>
      <c r="F290" s="13" t="s">
        <v>0</v>
      </c>
      <c r="G290" s="13" t="s">
        <v>13</v>
      </c>
      <c r="H290" s="13">
        <v>0</v>
      </c>
      <c r="I290" s="13">
        <v>1</v>
      </c>
      <c r="J290" s="13" t="s">
        <v>11</v>
      </c>
      <c r="K290" s="13"/>
      <c r="L290" s="18" t="s">
        <v>2246</v>
      </c>
    </row>
    <row r="291" spans="1:12" ht="21" x14ac:dyDescent="0.15">
      <c r="A291" s="13">
        <v>507</v>
      </c>
      <c r="B291" s="3" t="str">
        <f t="shared" si="7"/>
        <v>B507</v>
      </c>
      <c r="C291" s="13" t="s">
        <v>1241</v>
      </c>
      <c r="D291" s="13" t="s">
        <v>2405</v>
      </c>
      <c r="E291" s="13" t="s">
        <v>2406</v>
      </c>
      <c r="F291" s="13" t="s">
        <v>0</v>
      </c>
      <c r="G291" s="13" t="s">
        <v>13</v>
      </c>
      <c r="H291" s="13">
        <v>0</v>
      </c>
      <c r="I291" s="13">
        <v>1</v>
      </c>
      <c r="J291" s="13" t="s">
        <v>11</v>
      </c>
      <c r="K291" s="13"/>
      <c r="L291" s="18" t="s">
        <v>2246</v>
      </c>
    </row>
    <row r="292" spans="1:12" x14ac:dyDescent="0.15">
      <c r="A292" s="13">
        <v>509</v>
      </c>
      <c r="B292" s="3" t="str">
        <f t="shared" si="7"/>
        <v>B509</v>
      </c>
      <c r="C292" s="13" t="s">
        <v>2408</v>
      </c>
      <c r="D292" s="13" t="s">
        <v>2410</v>
      </c>
      <c r="E292" s="13" t="s">
        <v>2412</v>
      </c>
      <c r="F292" s="13" t="s">
        <v>0</v>
      </c>
      <c r="G292" s="13" t="s">
        <v>13</v>
      </c>
      <c r="H292" s="13">
        <v>0</v>
      </c>
      <c r="I292" s="13">
        <v>1</v>
      </c>
      <c r="J292" s="13" t="s">
        <v>11</v>
      </c>
      <c r="K292" s="13"/>
      <c r="L292" s="18" t="s">
        <v>2246</v>
      </c>
    </row>
    <row r="293" spans="1:12" x14ac:dyDescent="0.15">
      <c r="A293" s="13">
        <v>510</v>
      </c>
      <c r="B293" s="3" t="str">
        <f t="shared" si="7"/>
        <v>B510</v>
      </c>
      <c r="C293" s="13" t="s">
        <v>2409</v>
      </c>
      <c r="D293" s="13" t="s">
        <v>2411</v>
      </c>
      <c r="E293" s="13" t="s">
        <v>2413</v>
      </c>
      <c r="F293" s="13" t="s">
        <v>0</v>
      </c>
      <c r="G293" s="13" t="s">
        <v>13</v>
      </c>
      <c r="H293" s="13">
        <v>0</v>
      </c>
      <c r="I293" s="13">
        <v>1</v>
      </c>
      <c r="J293" s="13" t="s">
        <v>11</v>
      </c>
      <c r="K293" s="13"/>
      <c r="L293" s="18" t="s">
        <v>2246</v>
      </c>
    </row>
    <row r="294" spans="1:12" x14ac:dyDescent="0.15">
      <c r="A294" s="13">
        <v>513</v>
      </c>
      <c r="B294" s="3" t="str">
        <f t="shared" ref="B294" si="8">"B"&amp;A294</f>
        <v>B513</v>
      </c>
      <c r="C294" s="13" t="s">
        <v>1249</v>
      </c>
      <c r="D294" s="13" t="s">
        <v>1251</v>
      </c>
      <c r="E294" s="13" t="s">
        <v>1252</v>
      </c>
      <c r="F294" s="13"/>
      <c r="G294" s="13" t="s">
        <v>13</v>
      </c>
      <c r="H294" s="13">
        <v>0</v>
      </c>
      <c r="I294" s="13">
        <v>1</v>
      </c>
      <c r="J294" s="13" t="s">
        <v>11</v>
      </c>
      <c r="K294" s="13"/>
      <c r="L294" s="18" t="s">
        <v>2246</v>
      </c>
    </row>
    <row r="295" spans="1:12" x14ac:dyDescent="0.15">
      <c r="A295" s="13">
        <v>514</v>
      </c>
      <c r="B295" s="3" t="str">
        <f t="shared" ref="B295:B297" si="9">"B"&amp;A295</f>
        <v>B514</v>
      </c>
      <c r="C295" s="13" t="s">
        <v>1250</v>
      </c>
      <c r="D295" s="13" t="s">
        <v>1251</v>
      </c>
      <c r="E295" s="13" t="s">
        <v>1252</v>
      </c>
      <c r="F295" s="13" t="s">
        <v>0</v>
      </c>
      <c r="G295" s="13" t="s">
        <v>13</v>
      </c>
      <c r="H295" s="13">
        <v>0</v>
      </c>
      <c r="I295" s="13">
        <v>1</v>
      </c>
      <c r="J295" s="13" t="s">
        <v>11</v>
      </c>
      <c r="K295" s="13"/>
      <c r="L295" s="18" t="s">
        <v>2246</v>
      </c>
    </row>
    <row r="296" spans="1:12" ht="31.5" x14ac:dyDescent="0.15">
      <c r="A296" s="13">
        <v>518</v>
      </c>
      <c r="B296" s="3" t="str">
        <f t="shared" si="9"/>
        <v>B518</v>
      </c>
      <c r="C296" s="13" t="s">
        <v>1772</v>
      </c>
      <c r="D296" s="13" t="s">
        <v>2400</v>
      </c>
      <c r="E296" s="13" t="s">
        <v>2401</v>
      </c>
      <c r="F296" s="13"/>
      <c r="G296" s="13" t="s">
        <v>13</v>
      </c>
      <c r="H296" s="13">
        <v>0</v>
      </c>
      <c r="I296" s="13">
        <v>1</v>
      </c>
      <c r="J296" s="13" t="s">
        <v>16</v>
      </c>
      <c r="K296" s="13"/>
      <c r="L296" s="18" t="s">
        <v>2246</v>
      </c>
    </row>
    <row r="297" spans="1:12" ht="21" x14ac:dyDescent="0.15">
      <c r="A297" s="13">
        <v>519</v>
      </c>
      <c r="B297" s="3" t="str">
        <f t="shared" si="9"/>
        <v>B519</v>
      </c>
      <c r="C297" s="13" t="s">
        <v>1773</v>
      </c>
      <c r="D297" s="13" t="s">
        <v>2398</v>
      </c>
      <c r="E297" s="13" t="s">
        <v>2399</v>
      </c>
      <c r="F297" s="13"/>
      <c r="G297" s="13" t="s">
        <v>13</v>
      </c>
      <c r="H297" s="13">
        <v>0</v>
      </c>
      <c r="I297" s="13">
        <v>1</v>
      </c>
      <c r="J297" s="13" t="s">
        <v>16</v>
      </c>
      <c r="K297" s="13"/>
      <c r="L297" s="18" t="s">
        <v>2246</v>
      </c>
    </row>
    <row r="298" spans="1:12" x14ac:dyDescent="0.15">
      <c r="K298" s="22"/>
    </row>
  </sheetData>
  <mergeCells count="1">
    <mergeCell ref="A2:L2"/>
  </mergeCells>
  <phoneticPr fontId="3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18274-88C3-474A-873F-189B429EEAD3}">
  <dimension ref="B2:G41"/>
  <sheetViews>
    <sheetView workbookViewId="0">
      <selection activeCell="I36" sqref="I36"/>
    </sheetView>
  </sheetViews>
  <sheetFormatPr baseColWidth="10" defaultRowHeight="15" x14ac:dyDescent="0.25"/>
  <cols>
    <col min="5" max="5" width="18.5703125" customWidth="1"/>
  </cols>
  <sheetData>
    <row r="2" spans="2:7" x14ac:dyDescent="0.25">
      <c r="B2" s="41" t="s">
        <v>2274</v>
      </c>
      <c r="C2" s="41"/>
      <c r="D2" s="41"/>
      <c r="E2" s="41"/>
    </row>
    <row r="3" spans="2:7" x14ac:dyDescent="0.25">
      <c r="B3" s="39" t="s">
        <v>249</v>
      </c>
      <c r="C3" s="39"/>
      <c r="D3" s="39"/>
      <c r="E3" s="39"/>
    </row>
    <row r="4" spans="2:7" x14ac:dyDescent="0.25">
      <c r="B4" s="21" t="s">
        <v>2275</v>
      </c>
      <c r="C4" s="40" t="s">
        <v>2283</v>
      </c>
      <c r="D4" s="40"/>
      <c r="E4" s="40"/>
    </row>
    <row r="5" spans="2:7" x14ac:dyDescent="0.25">
      <c r="B5" s="20">
        <v>0</v>
      </c>
      <c r="C5" s="38" t="s">
        <v>2285</v>
      </c>
      <c r="D5" s="38"/>
      <c r="E5" s="38"/>
    </row>
    <row r="6" spans="2:7" x14ac:dyDescent="0.25">
      <c r="B6" s="20">
        <v>1</v>
      </c>
      <c r="C6" s="38" t="s">
        <v>2286</v>
      </c>
      <c r="D6" s="38"/>
      <c r="E6" s="38"/>
    </row>
    <row r="7" spans="2:7" x14ac:dyDescent="0.25">
      <c r="B7" s="20">
        <v>2</v>
      </c>
      <c r="C7" s="38" t="s">
        <v>2287</v>
      </c>
      <c r="D7" s="38"/>
      <c r="E7" s="38"/>
    </row>
    <row r="8" spans="2:7" x14ac:dyDescent="0.25">
      <c r="B8" s="20">
        <v>3</v>
      </c>
      <c r="C8" s="38" t="s">
        <v>2288</v>
      </c>
      <c r="D8" s="38"/>
      <c r="E8" s="38"/>
    </row>
    <row r="9" spans="2:7" x14ac:dyDescent="0.25">
      <c r="B9" s="20">
        <v>4</v>
      </c>
      <c r="C9" s="38" t="s">
        <v>2289</v>
      </c>
      <c r="D9" s="38"/>
      <c r="E9" s="38"/>
    </row>
    <row r="10" spans="2:7" x14ac:dyDescent="0.25">
      <c r="B10" s="20">
        <v>5</v>
      </c>
      <c r="C10" s="38" t="s">
        <v>2290</v>
      </c>
      <c r="D10" s="38"/>
      <c r="E10" s="38"/>
    </row>
    <row r="11" spans="2:7" x14ac:dyDescent="0.25">
      <c r="B11" s="20">
        <v>6</v>
      </c>
      <c r="C11" s="38" t="s">
        <v>2291</v>
      </c>
      <c r="D11" s="38"/>
      <c r="E11" s="38"/>
    </row>
    <row r="12" spans="2:7" x14ac:dyDescent="0.25">
      <c r="B12" s="20">
        <v>7</v>
      </c>
      <c r="C12" s="38" t="s">
        <v>2276</v>
      </c>
      <c r="D12" s="38"/>
      <c r="E12" s="38"/>
      <c r="G12" t="s">
        <v>2292</v>
      </c>
    </row>
    <row r="13" spans="2:7" x14ac:dyDescent="0.25">
      <c r="B13" s="20">
        <v>8</v>
      </c>
      <c r="C13" s="38" t="s">
        <v>2279</v>
      </c>
      <c r="D13" s="38"/>
      <c r="E13" s="38"/>
    </row>
    <row r="14" spans="2:7" x14ac:dyDescent="0.25">
      <c r="B14" s="20">
        <v>9</v>
      </c>
      <c r="C14" s="38" t="s">
        <v>2277</v>
      </c>
      <c r="D14" s="38"/>
      <c r="E14" s="38"/>
    </row>
    <row r="15" spans="2:7" x14ac:dyDescent="0.25">
      <c r="B15" s="20">
        <v>10</v>
      </c>
      <c r="C15" s="38" t="s">
        <v>2280</v>
      </c>
      <c r="D15" s="38"/>
      <c r="E15" s="38"/>
    </row>
    <row r="16" spans="2:7" x14ac:dyDescent="0.25">
      <c r="B16" s="20">
        <v>11</v>
      </c>
      <c r="C16" s="38" t="s">
        <v>2278</v>
      </c>
      <c r="D16" s="38"/>
      <c r="E16" s="38"/>
    </row>
    <row r="17" spans="2:5" x14ac:dyDescent="0.25">
      <c r="B17" s="20">
        <v>12</v>
      </c>
      <c r="C17" s="38" t="s">
        <v>2281</v>
      </c>
      <c r="D17" s="38"/>
      <c r="E17" s="38"/>
    </row>
    <row r="18" spans="2:5" x14ac:dyDescent="0.25">
      <c r="B18" s="20">
        <v>13</v>
      </c>
      <c r="C18" s="38" t="s">
        <v>2282</v>
      </c>
      <c r="D18" s="38"/>
      <c r="E18" s="38"/>
    </row>
    <row r="19" spans="2:5" x14ac:dyDescent="0.25">
      <c r="B19" s="20">
        <v>14</v>
      </c>
      <c r="C19" s="38" t="s">
        <v>2293</v>
      </c>
      <c r="D19" s="38"/>
      <c r="E19" s="38"/>
    </row>
    <row r="20" spans="2:5" x14ac:dyDescent="0.25">
      <c r="B20" s="20">
        <v>15</v>
      </c>
      <c r="C20" s="38" t="s">
        <v>2294</v>
      </c>
      <c r="D20" s="38"/>
      <c r="E20" s="38"/>
    </row>
    <row r="23" spans="2:5" x14ac:dyDescent="0.25">
      <c r="B23" s="41" t="s">
        <v>2274</v>
      </c>
      <c r="C23" s="41"/>
      <c r="D23" s="41"/>
      <c r="E23" s="41"/>
    </row>
    <row r="24" spans="2:5" x14ac:dyDescent="0.25">
      <c r="B24" s="39" t="s">
        <v>250</v>
      </c>
      <c r="C24" s="39"/>
      <c r="D24" s="39"/>
      <c r="E24" s="39"/>
    </row>
    <row r="25" spans="2:5" x14ac:dyDescent="0.25">
      <c r="B25" s="21" t="s">
        <v>2275</v>
      </c>
      <c r="C25" s="40" t="s">
        <v>2283</v>
      </c>
      <c r="D25" s="40"/>
      <c r="E25" s="40"/>
    </row>
    <row r="26" spans="2:5" x14ac:dyDescent="0.25">
      <c r="B26" s="20">
        <v>0</v>
      </c>
      <c r="C26" s="38" t="s">
        <v>2284</v>
      </c>
      <c r="D26" s="38"/>
      <c r="E26" s="38"/>
    </row>
    <row r="27" spans="2:5" x14ac:dyDescent="0.25">
      <c r="B27" s="20">
        <v>1</v>
      </c>
      <c r="C27" s="38" t="s">
        <v>2295</v>
      </c>
      <c r="D27" s="38"/>
      <c r="E27" s="38"/>
    </row>
    <row r="28" spans="2:5" x14ac:dyDescent="0.25">
      <c r="B28" s="20">
        <v>2</v>
      </c>
      <c r="C28" s="38" t="s">
        <v>2296</v>
      </c>
      <c r="D28" s="38"/>
      <c r="E28" s="38"/>
    </row>
    <row r="29" spans="2:5" x14ac:dyDescent="0.25">
      <c r="B29" s="20">
        <v>3</v>
      </c>
      <c r="C29" s="38" t="s">
        <v>2297</v>
      </c>
      <c r="D29" s="38"/>
      <c r="E29" s="38"/>
    </row>
    <row r="30" spans="2:5" x14ac:dyDescent="0.25">
      <c r="B30" s="20">
        <v>4</v>
      </c>
      <c r="C30" s="38" t="s">
        <v>2298</v>
      </c>
      <c r="D30" s="38"/>
      <c r="E30" s="38"/>
    </row>
    <row r="31" spans="2:5" x14ac:dyDescent="0.25">
      <c r="B31" s="20">
        <v>5</v>
      </c>
      <c r="C31" s="38" t="s">
        <v>2299</v>
      </c>
      <c r="D31" s="38"/>
      <c r="E31" s="38"/>
    </row>
    <row r="32" spans="2:5" x14ac:dyDescent="0.25">
      <c r="B32" s="20">
        <v>6</v>
      </c>
      <c r="C32" s="38" t="s">
        <v>2291</v>
      </c>
      <c r="D32" s="38"/>
      <c r="E32" s="38"/>
    </row>
    <row r="33" spans="2:5" x14ac:dyDescent="0.25">
      <c r="B33" s="20">
        <v>7</v>
      </c>
      <c r="C33" s="38" t="s">
        <v>2300</v>
      </c>
      <c r="D33" s="38"/>
      <c r="E33" s="38"/>
    </row>
    <row r="34" spans="2:5" x14ac:dyDescent="0.25">
      <c r="B34" s="20">
        <v>8</v>
      </c>
      <c r="C34" s="38"/>
      <c r="D34" s="38"/>
      <c r="E34" s="38"/>
    </row>
    <row r="35" spans="2:5" x14ac:dyDescent="0.25">
      <c r="B35" s="20">
        <v>9</v>
      </c>
      <c r="C35" s="38" t="s">
        <v>2301</v>
      </c>
      <c r="D35" s="38"/>
      <c r="E35" s="38"/>
    </row>
    <row r="36" spans="2:5" x14ac:dyDescent="0.25">
      <c r="B36" s="20">
        <v>10</v>
      </c>
      <c r="C36" s="38" t="s">
        <v>2302</v>
      </c>
      <c r="D36" s="38"/>
      <c r="E36" s="38"/>
    </row>
    <row r="37" spans="2:5" x14ac:dyDescent="0.25">
      <c r="B37" s="20">
        <v>11</v>
      </c>
      <c r="C37" s="38" t="s">
        <v>2303</v>
      </c>
      <c r="D37" s="38"/>
      <c r="E37" s="38"/>
    </row>
    <row r="38" spans="2:5" x14ac:dyDescent="0.25">
      <c r="B38" s="20">
        <v>12</v>
      </c>
      <c r="C38" s="38" t="s">
        <v>2304</v>
      </c>
      <c r="D38" s="38"/>
      <c r="E38" s="38"/>
    </row>
    <row r="39" spans="2:5" x14ac:dyDescent="0.25">
      <c r="B39" s="20">
        <v>13</v>
      </c>
      <c r="C39" s="38"/>
      <c r="D39" s="38"/>
      <c r="E39" s="38"/>
    </row>
    <row r="40" spans="2:5" x14ac:dyDescent="0.25">
      <c r="B40" s="20">
        <v>14</v>
      </c>
      <c r="C40" s="38"/>
      <c r="D40" s="38"/>
      <c r="E40" s="38"/>
    </row>
    <row r="41" spans="2:5" x14ac:dyDescent="0.25">
      <c r="B41" s="20">
        <v>15</v>
      </c>
      <c r="C41" s="38"/>
      <c r="D41" s="38"/>
      <c r="E41" s="38"/>
    </row>
  </sheetData>
  <mergeCells count="38">
    <mergeCell ref="C39:E39"/>
    <mergeCell ref="C40:E40"/>
    <mergeCell ref="C41:E41"/>
    <mergeCell ref="C33:E33"/>
    <mergeCell ref="C34:E34"/>
    <mergeCell ref="C35:E35"/>
    <mergeCell ref="C36:E36"/>
    <mergeCell ref="C37:E37"/>
    <mergeCell ref="C38:E38"/>
    <mergeCell ref="C27:E27"/>
    <mergeCell ref="C28:E28"/>
    <mergeCell ref="C29:E29"/>
    <mergeCell ref="C30:E30"/>
    <mergeCell ref="C31:E31"/>
    <mergeCell ref="C32:E32"/>
    <mergeCell ref="C20:E20"/>
    <mergeCell ref="B2:E2"/>
    <mergeCell ref="B23:E23"/>
    <mergeCell ref="B24:E24"/>
    <mergeCell ref="C25:E25"/>
    <mergeCell ref="C26:E26"/>
    <mergeCell ref="C14:E14"/>
    <mergeCell ref="C15:E15"/>
    <mergeCell ref="C16:E16"/>
    <mergeCell ref="C17:E17"/>
    <mergeCell ref="C18:E18"/>
    <mergeCell ref="C19:E19"/>
    <mergeCell ref="C8:E8"/>
    <mergeCell ref="C9:E9"/>
    <mergeCell ref="C10:E10"/>
    <mergeCell ref="C11:E11"/>
    <mergeCell ref="C12:E12"/>
    <mergeCell ref="C13:E13"/>
    <mergeCell ref="B3:E3"/>
    <mergeCell ref="C4:E4"/>
    <mergeCell ref="C5:E5"/>
    <mergeCell ref="C6:E6"/>
    <mergeCell ref="C7:E7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Leyenda</vt:lpstr>
      <vt:lpstr>Analogicas</vt:lpstr>
      <vt:lpstr>Enteras</vt:lpstr>
      <vt:lpstr>Digital</vt:lpstr>
      <vt:lpstr>Explicaciones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Oterino</dc:creator>
  <cp:lastModifiedBy>Gracia Solera</cp:lastModifiedBy>
  <dcterms:created xsi:type="dcterms:W3CDTF">2015-06-05T18:17:20Z</dcterms:created>
  <dcterms:modified xsi:type="dcterms:W3CDTF">2026-01-19T12:03:55Z</dcterms:modified>
</cp:coreProperties>
</file>